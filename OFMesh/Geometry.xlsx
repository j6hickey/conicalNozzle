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6hickey/Waterloo/Research/Projects/ReactionDynamics/CFD/conicalNozzle/OFMesh/"/>
    </mc:Choice>
  </mc:AlternateContent>
  <xr:revisionPtr revIDLastSave="0" documentId="13_ncr:1_{8D9D8929-8511-A14A-A185-90414ED88BF6}" xr6:coauthVersionLast="36" xr6:coauthVersionMax="36" xr10:uidLastSave="{00000000-0000-0000-0000-000000000000}"/>
  <bookViews>
    <workbookView xWindow="10840" yWindow="460" windowWidth="28800" windowHeight="17540" activeTab="1" xr2:uid="{B1584358-424A-1044-B5A1-2D54AC263E5D}"/>
  </bookViews>
  <sheets>
    <sheet name="Data" sheetId="1" r:id="rId1"/>
    <sheet name="boundaries" sheetId="5" r:id="rId2"/>
    <sheet name="Vertices" sheetId="2" r:id="rId3"/>
    <sheet name="hex" sheetId="3" r:id="rId4"/>
    <sheet name="arcs" sheetId="4" r:id="rId5"/>
  </sheets>
  <definedNames>
    <definedName name="arc_inj_end_inj_y">Data!$S$17</definedName>
    <definedName name="arc_inj_end_inj_z">Data!$S$18</definedName>
    <definedName name="arc_inj_end_y">Data!$S$15</definedName>
    <definedName name="arc_inj_end_z">Data!$S$16</definedName>
    <definedName name="arc_inj_noz_y">Data!$V$17</definedName>
    <definedName name="arc_inj_noz_z">Data!$V$18</definedName>
    <definedName name="arc_inj_out_y">Data!$Y$17</definedName>
    <definedName name="arc_inj_out_z">Data!$Y$18</definedName>
    <definedName name="arc_inj_start_inj_y">Data!$P$17</definedName>
    <definedName name="arc_inj_start_inj_z">Data!$P$18</definedName>
    <definedName name="arc_inj_start_y">Data!$P$15</definedName>
    <definedName name="arc_inj_start_z">Data!$P$16</definedName>
    <definedName name="arc_inle_inj_y">Data!$J$17</definedName>
    <definedName name="arc_inle_inj_z">Data!$J$18</definedName>
    <definedName name="arc_inlet_y">Data!$J$15</definedName>
    <definedName name="arc_inlet_z">Data!$J$16</definedName>
    <definedName name="arc_noz_y">Data!$V$15</definedName>
    <definedName name="arc_noz_z">Data!$V$16</definedName>
    <definedName name="arc_out_y">Data!$Y$15</definedName>
    <definedName name="arc_out_z">Data!$Y$16</definedName>
    <definedName name="arc_throat_inj_y">Data!$M$17</definedName>
    <definedName name="arc_throat_inj_z">Data!$M$18</definedName>
    <definedName name="arc_throat_y">Data!$M$15</definedName>
    <definedName name="arc_throat_z">Data!$M$16</definedName>
    <definedName name="Gradient_end">Data!$B$39</definedName>
    <definedName name="Gradient_start">Data!$B$38</definedName>
    <definedName name="inj_height">Data!$F$10</definedName>
    <definedName name="inlet_inj">Data!$J$13</definedName>
    <definedName name="noz_inj_end">Data!$N$6</definedName>
    <definedName name="Nozzle_length">Data!$B$13</definedName>
    <definedName name="Nx_inj">Data!$B$31</definedName>
    <definedName name="Nx_noz_1">Data!$B$30</definedName>
    <definedName name="Nx_noz_2">Data!$B$32</definedName>
    <definedName name="NX_nozzle_total">Data!$B$12</definedName>
    <definedName name="Ny_center">Data!$B$34</definedName>
    <definedName name="Ny_outer">Data!$B$33</definedName>
    <definedName name="nz">Data!$B$35</definedName>
    <definedName name="outlet_inj">Data!$Q$6</definedName>
    <definedName name="pos_inj">Data!$B$7</definedName>
    <definedName name="pos_inj_back">Data!$K$3</definedName>
    <definedName name="pos_noz_end">Data!$N$3</definedName>
    <definedName name="pos_outlet">Data!$Q$3</definedName>
    <definedName name="position_inlet">Data!$B$11</definedName>
    <definedName name="radius_inj_end">Data!$K$4</definedName>
    <definedName name="radius_inj_start">Data!$F$6</definedName>
    <definedName name="radius_injector">Data!$B$3</definedName>
    <definedName name="radius_inlet">Data!$B$10</definedName>
    <definedName name="radius_noz_end">Data!$N$4</definedName>
    <definedName name="radius_outlet">Data!$Q$4</definedName>
    <definedName name="radius_throat">Data!$B$4</definedName>
    <definedName name="sqr_frac">Data!$B$8</definedName>
    <definedName name="sqr_frac_inj_end">Data!$K$5</definedName>
    <definedName name="sqr_frac_inlet">Data!$J$12</definedName>
    <definedName name="sqr_frac_noz_end">Data!$N$5</definedName>
    <definedName name="sqr_frac_outlet">Data!$Q$5</definedName>
    <definedName name="sqr_frac_throat">Data!$F$7</definedName>
    <definedName name="support_outlet">Data!$Y$14</definedName>
    <definedName name="support_wall_inj_end">Data!$S$14</definedName>
    <definedName name="support_wall_inj_start">Data!$P$14</definedName>
    <definedName name="support_wall_inlet">Data!$J$14</definedName>
    <definedName name="support_wall_noz">Data!$V$14</definedName>
    <definedName name="support_wall_noz_end">Data!$N$7</definedName>
    <definedName name="support_wall_outer">Data!$T$7</definedName>
    <definedName name="support_wall_outlet">Data!$Q$7</definedName>
    <definedName name="support_wall_throat">Data!$M$14</definedName>
    <definedName name="throat_inj_wall">Data!$F$4</definedName>
    <definedName name="throat_inj_wall_end">Data!$K$7</definedName>
    <definedName name="throat_inj_wall_start">Data!$K$6</definedName>
    <definedName name="throat_sqr">Data!$F$3</definedName>
    <definedName name="throat_support_wall">Data!$F$5</definedName>
    <definedName name="throat_support_wall_end">Data!$K$9</definedName>
    <definedName name="throat_support_wall_start">Data!$K$8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4" l="1"/>
  <c r="B33" i="1" l="1"/>
  <c r="S44" i="3"/>
  <c r="S43" i="3"/>
  <c r="S42" i="3"/>
  <c r="S41" i="3"/>
  <c r="S40" i="3"/>
  <c r="S39" i="3"/>
  <c r="S38" i="3"/>
  <c r="D102" i="2"/>
  <c r="D101" i="2"/>
  <c r="C102" i="2"/>
  <c r="C101" i="2"/>
  <c r="D100" i="2"/>
  <c r="D99" i="2"/>
  <c r="C100" i="2"/>
  <c r="C99" i="2"/>
  <c r="C98" i="2"/>
  <c r="C97" i="2"/>
  <c r="B98" i="2"/>
  <c r="B99" i="2"/>
  <c r="B100" i="2"/>
  <c r="B101" i="2"/>
  <c r="B102" i="2"/>
  <c r="B97" i="2"/>
  <c r="D96" i="2"/>
  <c r="D95" i="2"/>
  <c r="C96" i="2"/>
  <c r="C95" i="2"/>
  <c r="C89" i="2"/>
  <c r="B95" i="2"/>
  <c r="B96" i="2"/>
  <c r="D85" i="2"/>
  <c r="D84" i="2"/>
  <c r="D90" i="2"/>
  <c r="D89" i="2"/>
  <c r="C90" i="2"/>
  <c r="D88" i="2"/>
  <c r="D87" i="2"/>
  <c r="C88" i="2"/>
  <c r="C87" i="2"/>
  <c r="C81" i="2"/>
  <c r="C80" i="2"/>
  <c r="D86" i="2"/>
  <c r="D83" i="2"/>
  <c r="D94" i="2"/>
  <c r="D93" i="2"/>
  <c r="C86" i="2"/>
  <c r="C83" i="2"/>
  <c r="C85" i="2"/>
  <c r="C84" i="2"/>
  <c r="C82" i="2"/>
  <c r="C79" i="2"/>
  <c r="B80" i="2"/>
  <c r="B81" i="2"/>
  <c r="B82" i="2"/>
  <c r="B83" i="2"/>
  <c r="B84" i="2"/>
  <c r="B85" i="2"/>
  <c r="B86" i="2"/>
  <c r="B87" i="2"/>
  <c r="B88" i="2"/>
  <c r="B89" i="2"/>
  <c r="B90" i="2"/>
  <c r="B79" i="2"/>
  <c r="C94" i="2"/>
  <c r="C93" i="2"/>
  <c r="T7" i="1"/>
  <c r="E28" i="4" l="1"/>
  <c r="E29" i="4"/>
  <c r="S26" i="3"/>
  <c r="S31" i="3"/>
  <c r="S32" i="3"/>
  <c r="S33" i="3"/>
  <c r="S34" i="3"/>
  <c r="S35" i="3"/>
  <c r="S36" i="3"/>
  <c r="S30" i="3"/>
  <c r="B39" i="1"/>
  <c r="S23" i="3" s="1"/>
  <c r="B35" i="1"/>
  <c r="P31" i="3" s="1"/>
  <c r="O36" i="3"/>
  <c r="O31" i="3"/>
  <c r="O26" i="3"/>
  <c r="O23" i="3"/>
  <c r="O17" i="3"/>
  <c r="P36" i="3"/>
  <c r="O32" i="3"/>
  <c r="O35" i="3"/>
  <c r="O30" i="3"/>
  <c r="P28" i="3"/>
  <c r="P21" i="3"/>
  <c r="O21" i="3"/>
  <c r="P14" i="3"/>
  <c r="P6" i="3"/>
  <c r="O6" i="3"/>
  <c r="O12" i="3"/>
  <c r="O4" i="3"/>
  <c r="O5" i="3"/>
  <c r="O7" i="3"/>
  <c r="O9" i="3"/>
  <c r="O11" i="3"/>
  <c r="O13" i="3"/>
  <c r="O16" i="3"/>
  <c r="O18" i="3"/>
  <c r="O19" i="3"/>
  <c r="O24" i="3"/>
  <c r="O25" i="3"/>
  <c r="O27" i="3"/>
  <c r="B34" i="1"/>
  <c r="O2" i="3"/>
  <c r="O3" i="3"/>
  <c r="O1" i="3"/>
  <c r="O29" i="3"/>
  <c r="N29" i="3"/>
  <c r="F5" i="1"/>
  <c r="F4" i="1"/>
  <c r="F7" i="1"/>
  <c r="C9" i="2" s="1"/>
  <c r="B11" i="1"/>
  <c r="E4" i="4" s="1"/>
  <c r="B10" i="1"/>
  <c r="C70" i="2" s="1"/>
  <c r="Q4" i="1"/>
  <c r="Q3" i="1"/>
  <c r="B59" i="2" s="1"/>
  <c r="N4" i="1"/>
  <c r="G22" i="4" s="1"/>
  <c r="B14" i="1"/>
  <c r="B7" i="1"/>
  <c r="B30" i="1" s="1"/>
  <c r="N9" i="3"/>
  <c r="N10" i="3"/>
  <c r="N11" i="3"/>
  <c r="N12" i="3"/>
  <c r="N13" i="3"/>
  <c r="N14" i="3"/>
  <c r="N8" i="3"/>
  <c r="N3" i="1"/>
  <c r="S18" i="1"/>
  <c r="G20" i="4" s="1"/>
  <c r="P18" i="1"/>
  <c r="M18" i="1"/>
  <c r="G9" i="4" s="1"/>
  <c r="G7" i="4"/>
  <c r="M14" i="1"/>
  <c r="M15" i="1" s="1"/>
  <c r="M16" i="1" s="1"/>
  <c r="E2" i="4"/>
  <c r="E3" i="4"/>
  <c r="B77" i="2"/>
  <c r="B75" i="2"/>
  <c r="B76" i="2"/>
  <c r="B71" i="2"/>
  <c r="B72" i="2"/>
  <c r="B67" i="2"/>
  <c r="D66" i="2"/>
  <c r="D65" i="2"/>
  <c r="B55" i="2"/>
  <c r="C42" i="2"/>
  <c r="D34" i="2"/>
  <c r="D33" i="2"/>
  <c r="D32" i="2"/>
  <c r="D31" i="2"/>
  <c r="P19" i="3" l="1"/>
  <c r="P22" i="3"/>
  <c r="P30" i="3"/>
  <c r="P4" i="3"/>
  <c r="P43" i="3"/>
  <c r="P39" i="3"/>
  <c r="P40" i="3"/>
  <c r="P41" i="3"/>
  <c r="P42" i="3"/>
  <c r="P38" i="3"/>
  <c r="P44" i="3"/>
  <c r="O42" i="3"/>
  <c r="O38" i="3"/>
  <c r="O43" i="3"/>
  <c r="O39" i="3"/>
  <c r="O44" i="3"/>
  <c r="O40" i="3"/>
  <c r="O41" i="3"/>
  <c r="O22" i="3"/>
  <c r="O15" i="3"/>
  <c r="O8" i="3"/>
  <c r="O10" i="3"/>
  <c r="O14" i="3"/>
  <c r="O28" i="3"/>
  <c r="O33" i="3"/>
  <c r="O20" i="3"/>
  <c r="O34" i="3"/>
  <c r="P13" i="3"/>
  <c r="P24" i="3"/>
  <c r="P9" i="3"/>
  <c r="P34" i="3"/>
  <c r="C51" i="2"/>
  <c r="C92" i="2"/>
  <c r="C91" i="2"/>
  <c r="Y16" i="1"/>
  <c r="P3" i="3"/>
  <c r="P12" i="3"/>
  <c r="P8" i="3"/>
  <c r="P18" i="3"/>
  <c r="P27" i="3"/>
  <c r="P23" i="3"/>
  <c r="P33" i="3"/>
  <c r="Y18" i="1"/>
  <c r="G27" i="4"/>
  <c r="C39" i="2"/>
  <c r="B68" i="2"/>
  <c r="E1" i="4"/>
  <c r="E15" i="4"/>
  <c r="P1" i="3"/>
  <c r="P2" i="3"/>
  <c r="P11" i="3"/>
  <c r="P15" i="3"/>
  <c r="P17" i="3"/>
  <c r="P26" i="3"/>
  <c r="P29" i="3"/>
  <c r="P32" i="3"/>
  <c r="Y14" i="1"/>
  <c r="E27" i="4"/>
  <c r="E25" i="4"/>
  <c r="B92" i="2"/>
  <c r="B93" i="2"/>
  <c r="B91" i="2"/>
  <c r="B94" i="2"/>
  <c r="P5" i="3"/>
  <c r="P7" i="3"/>
  <c r="P10" i="3"/>
  <c r="P20" i="3"/>
  <c r="P16" i="3"/>
  <c r="P25" i="3"/>
  <c r="P35" i="3"/>
  <c r="Y15" i="1"/>
  <c r="E30" i="4"/>
  <c r="S25" i="3"/>
  <c r="S28" i="3"/>
  <c r="S24" i="3"/>
  <c r="S22" i="3"/>
  <c r="S27" i="3"/>
  <c r="B62" i="2"/>
  <c r="B63" i="2"/>
  <c r="F6" i="1"/>
  <c r="K8" i="1" s="1"/>
  <c r="B54" i="2"/>
  <c r="C67" i="2"/>
  <c r="N7" i="1"/>
  <c r="C50" i="2" s="1"/>
  <c r="B74" i="2"/>
  <c r="B70" i="2"/>
  <c r="J12" i="1"/>
  <c r="D75" i="2" s="1"/>
  <c r="J14" i="1"/>
  <c r="C78" i="2" s="1"/>
  <c r="E5" i="4"/>
  <c r="G2" i="4"/>
  <c r="V14" i="1"/>
  <c r="V15" i="1" s="1"/>
  <c r="F23" i="4" s="1"/>
  <c r="J18" i="1"/>
  <c r="G5" i="4" s="1"/>
  <c r="N5" i="1"/>
  <c r="C48" i="2" s="1"/>
  <c r="B73" i="2"/>
  <c r="B69" i="2"/>
  <c r="B78" i="2"/>
  <c r="F10" i="1"/>
  <c r="C66" i="2" s="1"/>
  <c r="K6" i="1"/>
  <c r="B53" i="2"/>
  <c r="B56" i="2"/>
  <c r="B65" i="2"/>
  <c r="E14" i="4"/>
  <c r="Q5" i="1"/>
  <c r="C60" i="2" s="1"/>
  <c r="B52" i="2"/>
  <c r="B57" i="2"/>
  <c r="B60" i="2"/>
  <c r="P17" i="1"/>
  <c r="F14" i="4" s="1"/>
  <c r="B61" i="2"/>
  <c r="K4" i="1"/>
  <c r="S14" i="1" s="1"/>
  <c r="S15" i="1" s="1"/>
  <c r="C5" i="2"/>
  <c r="B39" i="2"/>
  <c r="B51" i="2"/>
  <c r="C54" i="2"/>
  <c r="B58" i="2"/>
  <c r="G17" i="4"/>
  <c r="K7" i="1"/>
  <c r="C34" i="2" s="1"/>
  <c r="K5" i="1"/>
  <c r="C16" i="2" s="1"/>
  <c r="C23" i="2"/>
  <c r="N6" i="1"/>
  <c r="Q7" i="1"/>
  <c r="D61" i="2" s="1"/>
  <c r="G12" i="4"/>
  <c r="C4" i="2"/>
  <c r="P14" i="1"/>
  <c r="P15" i="1" s="1"/>
  <c r="P16" i="1" s="1"/>
  <c r="C8" i="2"/>
  <c r="C11" i="2"/>
  <c r="E13" i="4"/>
  <c r="C77" i="2"/>
  <c r="E11" i="4"/>
  <c r="E12" i="4"/>
  <c r="N3" i="3"/>
  <c r="N2" i="3"/>
  <c r="D49" i="2"/>
  <c r="B47" i="2"/>
  <c r="C69" i="2"/>
  <c r="J17" i="1"/>
  <c r="F5" i="4" s="1"/>
  <c r="C37" i="2"/>
  <c r="B43" i="2"/>
  <c r="E24" i="4"/>
  <c r="N6" i="3"/>
  <c r="B50" i="2"/>
  <c r="B46" i="2"/>
  <c r="B42" i="2"/>
  <c r="E23" i="4"/>
  <c r="N5" i="3"/>
  <c r="B45" i="2"/>
  <c r="B32" i="1"/>
  <c r="N4" i="3"/>
  <c r="N7" i="3"/>
  <c r="B49" i="2"/>
  <c r="B41" i="2"/>
  <c r="E21" i="4"/>
  <c r="E22" i="4"/>
  <c r="B48" i="2"/>
  <c r="B44" i="2"/>
  <c r="B40" i="2"/>
  <c r="N1" i="3"/>
  <c r="G19" i="4"/>
  <c r="G15" i="4"/>
  <c r="S17" i="1"/>
  <c r="F20" i="4" s="1"/>
  <c r="G8" i="4"/>
  <c r="G6" i="4"/>
  <c r="V16" i="1"/>
  <c r="F8" i="4"/>
  <c r="D50" i="2"/>
  <c r="F6" i="4"/>
  <c r="C28" i="2"/>
  <c r="C41" i="2"/>
  <c r="C47" i="2"/>
  <c r="C49" i="2"/>
  <c r="C64" i="2"/>
  <c r="D78" i="2"/>
  <c r="J15" i="1"/>
  <c r="M17" i="1"/>
  <c r="F9" i="4" s="1"/>
  <c r="C45" i="2"/>
  <c r="C40" i="2"/>
  <c r="D77" i="2"/>
  <c r="C44" i="2"/>
  <c r="G4" i="4"/>
  <c r="G14" i="4"/>
  <c r="G10" i="4"/>
  <c r="C10" i="2"/>
  <c r="C6" i="2"/>
  <c r="C3" i="2"/>
  <c r="K3" i="1"/>
  <c r="B26" i="2"/>
  <c r="B25" i="2"/>
  <c r="B21" i="2"/>
  <c r="C24" i="2"/>
  <c r="D24" i="2"/>
  <c r="B22" i="2"/>
  <c r="B11" i="2"/>
  <c r="D10" i="2"/>
  <c r="B12" i="2"/>
  <c r="B13" i="2"/>
  <c r="B14" i="2"/>
  <c r="B15" i="2"/>
  <c r="B16" i="2"/>
  <c r="B17" i="2"/>
  <c r="B18" i="2"/>
  <c r="D18" i="2"/>
  <c r="D17" i="2"/>
  <c r="D14" i="2"/>
  <c r="D13" i="2"/>
  <c r="D9" i="2"/>
  <c r="C7" i="2"/>
  <c r="D6" i="2"/>
  <c r="D5" i="2"/>
  <c r="F3" i="1"/>
  <c r="Y17" i="1" l="1"/>
  <c r="G30" i="4"/>
  <c r="G29" i="4"/>
  <c r="F21" i="4"/>
  <c r="C68" i="2"/>
  <c r="C76" i="2"/>
  <c r="D76" i="2"/>
  <c r="C72" i="2"/>
  <c r="G28" i="4"/>
  <c r="G26" i="4"/>
  <c r="C75" i="2"/>
  <c r="C73" i="2"/>
  <c r="F26" i="4"/>
  <c r="F28" i="4"/>
  <c r="C26" i="2"/>
  <c r="D26" i="2"/>
  <c r="D25" i="2"/>
  <c r="C25" i="2"/>
  <c r="D60" i="2"/>
  <c r="C65" i="2"/>
  <c r="C56" i="2"/>
  <c r="C15" i="2"/>
  <c r="C59" i="2"/>
  <c r="C57" i="2"/>
  <c r="D59" i="2"/>
  <c r="V18" i="1"/>
  <c r="G25" i="4" s="1"/>
  <c r="F19" i="4"/>
  <c r="C52" i="2"/>
  <c r="D48" i="2"/>
  <c r="D47" i="2"/>
  <c r="C53" i="2"/>
  <c r="C30" i="2"/>
  <c r="D23" i="2"/>
  <c r="F15" i="4"/>
  <c r="F11" i="4"/>
  <c r="C63" i="2"/>
  <c r="S16" i="1"/>
  <c r="F16" i="4"/>
  <c r="F18" i="4"/>
  <c r="C62" i="2"/>
  <c r="C32" i="2"/>
  <c r="V17" i="1"/>
  <c r="F25" i="4" s="1"/>
  <c r="Q6" i="1"/>
  <c r="K9" i="1"/>
  <c r="C18" i="2"/>
  <c r="C14" i="2"/>
  <c r="C31" i="2"/>
  <c r="D62" i="2"/>
  <c r="F13" i="4"/>
  <c r="G24" i="4"/>
  <c r="J13" i="1"/>
  <c r="C27" i="2"/>
  <c r="C46" i="2"/>
  <c r="C43" i="2"/>
  <c r="D38" i="2"/>
  <c r="C22" i="2"/>
  <c r="D21" i="2"/>
  <c r="C21" i="2"/>
  <c r="C13" i="2"/>
  <c r="D22" i="2"/>
  <c r="C17" i="2"/>
  <c r="C12" i="2"/>
  <c r="C29" i="2"/>
  <c r="D37" i="2"/>
  <c r="C38" i="2"/>
  <c r="C61" i="2"/>
  <c r="C33" i="2"/>
  <c r="F4" i="4"/>
  <c r="F10" i="4"/>
  <c r="F24" i="4"/>
  <c r="N16" i="3"/>
  <c r="N20" i="3"/>
  <c r="N18" i="3"/>
  <c r="N17" i="3"/>
  <c r="N21" i="3"/>
  <c r="N15" i="3"/>
  <c r="N19" i="3"/>
  <c r="E18" i="4"/>
  <c r="E16" i="4"/>
  <c r="B38" i="2"/>
  <c r="E19" i="4"/>
  <c r="B36" i="2"/>
  <c r="E20" i="4"/>
  <c r="B66" i="2"/>
  <c r="E17" i="4"/>
  <c r="B64" i="2"/>
  <c r="B37" i="2"/>
  <c r="G16" i="4"/>
  <c r="G18" i="4"/>
  <c r="G21" i="4"/>
  <c r="G23" i="4"/>
  <c r="G11" i="4"/>
  <c r="G13" i="4"/>
  <c r="J16" i="1"/>
  <c r="F3" i="4"/>
  <c r="F1" i="4"/>
  <c r="B28" i="2"/>
  <c r="B29" i="2"/>
  <c r="B30" i="2"/>
  <c r="B34" i="2"/>
  <c r="B31" i="2"/>
  <c r="B35" i="2"/>
  <c r="B32" i="2"/>
  <c r="B27" i="2"/>
  <c r="B33" i="2"/>
  <c r="D20" i="2"/>
  <c r="C19" i="2"/>
  <c r="C20" i="2"/>
  <c r="D19" i="2"/>
  <c r="F29" i="4" l="1"/>
  <c r="F30" i="4"/>
  <c r="C71" i="2"/>
  <c r="C74" i="2"/>
  <c r="D36" i="2"/>
  <c r="C36" i="2"/>
  <c r="D35" i="2"/>
  <c r="C35" i="2"/>
  <c r="C55" i="2"/>
  <c r="C58" i="2"/>
  <c r="D44" i="2"/>
  <c r="D43" i="2"/>
  <c r="D46" i="2"/>
  <c r="D45" i="2"/>
  <c r="G1" i="4"/>
  <c r="G3" i="4"/>
  <c r="D58" i="2" l="1"/>
  <c r="D57" i="2"/>
  <c r="D56" i="2"/>
  <c r="D55" i="2"/>
  <c r="D74" i="2"/>
  <c r="D72" i="2"/>
  <c r="D71" i="2"/>
  <c r="D73" i="2"/>
</calcChain>
</file>

<file path=xl/sharedStrings.xml><?xml version="1.0" encoding="utf-8"?>
<sst xmlns="http://schemas.openxmlformats.org/spreadsheetml/2006/main" count="1017" uniqueCount="254">
  <si>
    <t>radius_injector</t>
  </si>
  <si>
    <t xml:space="preserve">radius_throat </t>
  </si>
  <si>
    <t>position_injector</t>
  </si>
  <si>
    <t>sqr_frac</t>
  </si>
  <si>
    <t>INPUT VALUES</t>
  </si>
  <si>
    <t>COMPUTED Values</t>
  </si>
  <si>
    <t>throat_sqr</t>
  </si>
  <si>
    <t>throat_inj_wall</t>
  </si>
  <si>
    <t>VERTICES</t>
  </si>
  <si>
    <t>(</t>
  </si>
  <si>
    <t>)</t>
  </si>
  <si>
    <t>//0</t>
  </si>
  <si>
    <t>//1</t>
  </si>
  <si>
    <t>//2</t>
  </si>
  <si>
    <t>//3</t>
  </si>
  <si>
    <t>//4</t>
  </si>
  <si>
    <t>//5</t>
  </si>
  <si>
    <t>//6</t>
  </si>
  <si>
    <t>//7</t>
  </si>
  <si>
    <t>//8</t>
  </si>
  <si>
    <t>//9</t>
  </si>
  <si>
    <t>//10</t>
  </si>
  <si>
    <t>//11</t>
  </si>
  <si>
    <t>//12</t>
  </si>
  <si>
    <t>//13</t>
  </si>
  <si>
    <t>//14</t>
  </si>
  <si>
    <t>//15</t>
  </si>
  <si>
    <t>//16</t>
  </si>
  <si>
    <t>//17</t>
  </si>
  <si>
    <t>//18</t>
  </si>
  <si>
    <t>//19</t>
  </si>
  <si>
    <t>throat_support_wall</t>
  </si>
  <si>
    <t>//20</t>
  </si>
  <si>
    <t>//21</t>
  </si>
  <si>
    <t>//22</t>
  </si>
  <si>
    <t>//23</t>
  </si>
  <si>
    <t>pos_inj_back</t>
  </si>
  <si>
    <t>THROAT</t>
  </si>
  <si>
    <t>INJECTOR START</t>
  </si>
  <si>
    <t>INJECTOR END</t>
  </si>
  <si>
    <t>//24</t>
  </si>
  <si>
    <t>//25</t>
  </si>
  <si>
    <t>//26</t>
  </si>
  <si>
    <t>//27</t>
  </si>
  <si>
    <t>//28</t>
  </si>
  <si>
    <t>//29</t>
  </si>
  <si>
    <t>//30</t>
  </si>
  <si>
    <t>//31</t>
  </si>
  <si>
    <t>//32</t>
  </si>
  <si>
    <t>//33</t>
  </si>
  <si>
    <t>//34</t>
  </si>
  <si>
    <t>//35</t>
  </si>
  <si>
    <t>//36</t>
  </si>
  <si>
    <t>//37</t>
  </si>
  <si>
    <t>//38</t>
  </si>
  <si>
    <t>radius_inj_end</t>
  </si>
  <si>
    <t>radius_inj_start</t>
  </si>
  <si>
    <t>sqr_frac_inj_end</t>
  </si>
  <si>
    <t>throat_inj_wall_end</t>
  </si>
  <si>
    <t>throat_support_wall_end</t>
  </si>
  <si>
    <t>Nozzle end</t>
  </si>
  <si>
    <t>pos_noz_end</t>
  </si>
  <si>
    <t>radius_noz_end</t>
  </si>
  <si>
    <t>sqr_frac_noz_end</t>
  </si>
  <si>
    <t>//39</t>
  </si>
  <si>
    <t>//40</t>
  </si>
  <si>
    <t>//41</t>
  </si>
  <si>
    <t>//42</t>
  </si>
  <si>
    <t>//43</t>
  </si>
  <si>
    <t>//44</t>
  </si>
  <si>
    <t>//45</t>
  </si>
  <si>
    <t>//46</t>
  </si>
  <si>
    <t>//47</t>
  </si>
  <si>
    <t>//48</t>
  </si>
  <si>
    <t>//49</t>
  </si>
  <si>
    <t>//50</t>
  </si>
  <si>
    <t>//51</t>
  </si>
  <si>
    <t>//52</t>
  </si>
  <si>
    <t>noz_inj_end</t>
  </si>
  <si>
    <t>support_wall_noz_end</t>
  </si>
  <si>
    <t>Outlet</t>
  </si>
  <si>
    <t>pos_outlet</t>
  </si>
  <si>
    <t>radius_outlet</t>
  </si>
  <si>
    <t>sqr_frac_outlet</t>
  </si>
  <si>
    <t>outlet_inj</t>
  </si>
  <si>
    <t>support_wall_outlet</t>
  </si>
  <si>
    <t>//53</t>
  </si>
  <si>
    <t>//54</t>
  </si>
  <si>
    <t>//55</t>
  </si>
  <si>
    <t>//56</t>
  </si>
  <si>
    <t>//57</t>
  </si>
  <si>
    <t>//58</t>
  </si>
  <si>
    <t>//59</t>
  </si>
  <si>
    <t>//60</t>
  </si>
  <si>
    <t>//61</t>
  </si>
  <si>
    <t>//62</t>
  </si>
  <si>
    <t>//63</t>
  </si>
  <si>
    <t>//64</t>
  </si>
  <si>
    <t>//65</t>
  </si>
  <si>
    <t>//66</t>
  </si>
  <si>
    <t>//67</t>
  </si>
  <si>
    <t>//68</t>
  </si>
  <si>
    <t>inj_height</t>
  </si>
  <si>
    <t>injector from wall height</t>
  </si>
  <si>
    <t>INJECTOR</t>
  </si>
  <si>
    <t>INLET</t>
  </si>
  <si>
    <t>position_inlet</t>
  </si>
  <si>
    <t>radius_inlet</t>
  </si>
  <si>
    <t>sqr_frac_inlet</t>
  </si>
  <si>
    <t>inlet_inj</t>
  </si>
  <si>
    <t>support_wall_inlet</t>
  </si>
  <si>
    <t>//69</t>
  </si>
  <si>
    <t>//70</t>
  </si>
  <si>
    <t>//71</t>
  </si>
  <si>
    <t>//72</t>
  </si>
  <si>
    <t>//73</t>
  </si>
  <si>
    <t>//74</t>
  </si>
  <si>
    <t>//75</t>
  </si>
  <si>
    <t xml:space="preserve">arc </t>
  </si>
  <si>
    <t>arc_inlet_y</t>
  </si>
  <si>
    <t>arc_inlet_z</t>
  </si>
  <si>
    <t>arc_inle_inj_y</t>
  </si>
  <si>
    <t>arc_inle_inj_z</t>
  </si>
  <si>
    <t>support_wall_throat</t>
  </si>
  <si>
    <t>arc_throat_y</t>
  </si>
  <si>
    <t>arc_throat_z</t>
  </si>
  <si>
    <t>arc_throat_inj_y</t>
  </si>
  <si>
    <t>arc_throat_inj_z</t>
  </si>
  <si>
    <t>Injector start</t>
  </si>
  <si>
    <t>support_wall_inj_start</t>
  </si>
  <si>
    <t>arc_inj_start_y</t>
  </si>
  <si>
    <t>arc_inj_start_z</t>
  </si>
  <si>
    <t>arc_inj_start_inj_y</t>
  </si>
  <si>
    <t>arc_inj_start_inj_z</t>
  </si>
  <si>
    <t>support_wall_inj_end</t>
  </si>
  <si>
    <t>arc_inj_end_y</t>
  </si>
  <si>
    <t>arc_inj_end_z</t>
  </si>
  <si>
    <t>arc_inj_end_inj_y</t>
  </si>
  <si>
    <t>arc_inj_end_inj_z</t>
  </si>
  <si>
    <t>support_wall_noz</t>
  </si>
  <si>
    <t>arc_inj_noz_y</t>
  </si>
  <si>
    <t>arc_inj_noz_z</t>
  </si>
  <si>
    <t>arc_noz_y</t>
  </si>
  <si>
    <t>arc_noz_z</t>
  </si>
  <si>
    <t>hex</t>
  </si>
  <si>
    <t>NX_entrance</t>
  </si>
  <si>
    <t>NX_nozzle_total</t>
  </si>
  <si>
    <t>Nx_noz_1</t>
  </si>
  <si>
    <t>Nozzle_length</t>
  </si>
  <si>
    <t>Nx_inj</t>
  </si>
  <si>
    <t>Nx_noz_2</t>
  </si>
  <si>
    <t>simpleGrading (</t>
  </si>
  <si>
    <t>percentage_injector</t>
  </si>
  <si>
    <t>slope_linearnozzle</t>
  </si>
  <si>
    <t>radius_nozzle_exit</t>
  </si>
  <si>
    <t>sqr_frac_throat</t>
  </si>
  <si>
    <t>throat_inj_wall_start</t>
  </si>
  <si>
    <t>throat_support_wall_start</t>
  </si>
  <si>
    <t>NZ_radial_total</t>
  </si>
  <si>
    <t>NY_tang_total</t>
  </si>
  <si>
    <t>Ny_outer</t>
  </si>
  <si>
    <t>Ny_center</t>
  </si>
  <si>
    <t>Nz</t>
  </si>
  <si>
    <t>Gradient_start</t>
  </si>
  <si>
    <t>Gradient_end</t>
  </si>
  <si>
    <t>support_outlet</t>
  </si>
  <si>
    <t>arc_out_y</t>
  </si>
  <si>
    <t>arc_out_z</t>
  </si>
  <si>
    <t>arc_inj_out_y</t>
  </si>
  <si>
    <t>arc_inj_out_z</t>
  </si>
  <si>
    <t>boundary</t>
  </si>
  <si>
    <t>/*inlet</t>
  </si>
  <si>
    <t>{</t>
  </si>
  <si>
    <t>type</t>
  </si>
  <si>
    <t>patch;</t>
  </si>
  <si>
    <t>faces</t>
  </si>
  <si>
    <t>(64</t>
  </si>
  <si>
    <t>(68</t>
  </si>
  <si>
    <t>(74</t>
  </si>
  <si>
    <t>(69</t>
  </si>
  <si>
    <t>(65</t>
  </si>
  <si>
    <t>(70</t>
  </si>
  <si>
    <t>(66</t>
  </si>
  <si>
    <t>;</t>
  </si>
  <si>
    <t>}</t>
  </si>
  <si>
    <t>outlet</t>
  </si>
  <si>
    <t>(48</t>
  </si>
  <si>
    <t>(49</t>
  </si>
  <si>
    <t>(50</t>
  </si>
  <si>
    <t>(52</t>
  </si>
  <si>
    <t>(56</t>
  </si>
  <si>
    <t>(57</t>
  </si>
  <si>
    <t>(53</t>
  </si>
  <si>
    <t>injection</t>
  </si>
  <si>
    <t>(63</t>
  </si>
  <si>
    <t>walls</t>
  </si>
  <si>
    <t>wall;</t>
  </si>
  <si>
    <t>(75</t>
  </si>
  <si>
    <t>(71</t>
  </si>
  <si>
    <t>(0</t>
  </si>
  <si>
    <t>(3</t>
  </si>
  <si>
    <t>(20</t>
  </si>
  <si>
    <t>(21</t>
  </si>
  <si>
    <t>(7</t>
  </si>
  <si>
    <t>(24</t>
  </si>
  <si>
    <t>(28</t>
  </si>
  <si>
    <t>(32</t>
  </si>
  <si>
    <t>(33</t>
  </si>
  <si>
    <t>(31</t>
  </si>
  <si>
    <t>(36</t>
  </si>
  <si>
    <t>(40</t>
  </si>
  <si>
    <t>(46</t>
  </si>
  <si>
    <t>(47</t>
  </si>
  <si>
    <t>(43</t>
  </si>
  <si>
    <t>(60</t>
  </si>
  <si>
    <t>(62</t>
  </si>
  <si>
    <t>symmetry</t>
  </si>
  <si>
    <t>symmetryPlane;</t>
  </si>
  <si>
    <t>(1</t>
  </si>
  <si>
    <t>(5</t>
  </si>
  <si>
    <t>(8</t>
  </si>
  <si>
    <t>(9</t>
  </si>
  <si>
    <t>(13</t>
  </si>
  <si>
    <t>(25</t>
  </si>
  <si>
    <t>(26</t>
  </si>
  <si>
    <t>(37</t>
  </si>
  <si>
    <t>(38</t>
  </si>
  <si>
    <t>}*/</t>
  </si>
  <si>
    <t>//76</t>
  </si>
  <si>
    <t>//77</t>
  </si>
  <si>
    <t>//78</t>
  </si>
  <si>
    <t>//79</t>
  </si>
  <si>
    <t>//80</t>
  </si>
  <si>
    <t>//81</t>
  </si>
  <si>
    <t>//82</t>
  </si>
  <si>
    <t>//83</t>
  </si>
  <si>
    <t>//84</t>
  </si>
  <si>
    <t>//85</t>
  </si>
  <si>
    <t>//86</t>
  </si>
  <si>
    <t>//87</t>
  </si>
  <si>
    <t>//88</t>
  </si>
  <si>
    <t>//89</t>
  </si>
  <si>
    <t>//90</t>
  </si>
  <si>
    <t>//91</t>
  </si>
  <si>
    <t>//92</t>
  </si>
  <si>
    <t>//93</t>
  </si>
  <si>
    <t>OuterRing</t>
  </si>
  <si>
    <t>support_wall_outer</t>
  </si>
  <si>
    <t>//94</t>
  </si>
  <si>
    <t>//95</t>
  </si>
  <si>
    <t>//96</t>
  </si>
  <si>
    <t>//97</t>
  </si>
  <si>
    <t>//98</t>
  </si>
  <si>
    <t>//99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</si>
</sst>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0" fillId="0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3" fillId="4" borderId="0" xfId="0" applyFont="1" applyFill="1"/>
    <xf numFmtId="0" fontId="4" fillId="0" borderId="0" xfId="0" applyFont="1"/>
    <xf numFmtId="9" fontId="0" fillId="0" borderId="0" xfId="0" applyNumberFormat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78BE-40AF-3E41-837F-A99E84B0FBC5}">
  <sheetPr codeName="Sheet1"/>
  <dimension ref="A1:Y39"/>
  <sheetViews>
    <sheetView workbookViewId="0">
      <selection activeCell="B6" sqref="B6"/>
    </sheetView>
  </sheetViews>
  <sheetFormatPr baseColWidth="10" defaultRowHeight="16" x14ac:dyDescent="0.2"/>
  <cols>
    <col min="1" max="1" width="18.83203125" customWidth="1"/>
    <col min="18" max="18" width="16" customWidth="1"/>
  </cols>
  <sheetData>
    <row r="1" spans="1:25" x14ac:dyDescent="0.2">
      <c r="A1" t="s">
        <v>4</v>
      </c>
      <c r="E1" t="s">
        <v>5</v>
      </c>
    </row>
    <row r="2" spans="1:25" x14ac:dyDescent="0.2">
      <c r="E2" t="s">
        <v>37</v>
      </c>
      <c r="H2" s="3" t="s">
        <v>38</v>
      </c>
      <c r="I2" s="3"/>
      <c r="J2" s="3" t="s">
        <v>39</v>
      </c>
      <c r="K2" s="3"/>
      <c r="L2" s="3"/>
      <c r="M2" s="3" t="s">
        <v>60</v>
      </c>
      <c r="N2" s="3"/>
      <c r="P2" t="s">
        <v>80</v>
      </c>
      <c r="S2" t="s">
        <v>246</v>
      </c>
    </row>
    <row r="3" spans="1:25" x14ac:dyDescent="0.2">
      <c r="A3" t="s">
        <v>0</v>
      </c>
      <c r="B3">
        <v>1E-3</v>
      </c>
      <c r="E3" t="s">
        <v>6</v>
      </c>
      <c r="F3">
        <f>B4*B8</f>
        <v>6.4999999999999997E-3</v>
      </c>
      <c r="J3" t="s">
        <v>36</v>
      </c>
      <c r="K3">
        <f>pos_inj+2*B3</f>
        <v>7.3999999999999996E-2</v>
      </c>
      <c r="M3" t="s">
        <v>61</v>
      </c>
      <c r="N3">
        <f>Nozzle_length</f>
        <v>0.09</v>
      </c>
      <c r="P3" t="s">
        <v>81</v>
      </c>
      <c r="Q3">
        <f>Nozzle_length*25</f>
        <v>2.25</v>
      </c>
    </row>
    <row r="4" spans="1:25" x14ac:dyDescent="0.2">
      <c r="A4" t="s">
        <v>1</v>
      </c>
      <c r="B4">
        <v>1.2999999999999999E-2</v>
      </c>
      <c r="E4" t="s">
        <v>7</v>
      </c>
      <c r="F4">
        <f>SQRT(radius_throat^2-B3^2)</f>
        <v>1.296148139681572E-2</v>
      </c>
      <c r="J4" t="s">
        <v>55</v>
      </c>
      <c r="K4">
        <f>radius_throat+B14*(pos_inj+radius_injector)</f>
        <v>2.5166666666666667E-2</v>
      </c>
      <c r="M4" t="s">
        <v>62</v>
      </c>
      <c r="N4">
        <f>B5</f>
        <v>2.8000000000000001E-2</v>
      </c>
      <c r="P4" t="s">
        <v>82</v>
      </c>
      <c r="Q4">
        <f>radius_throat*40</f>
        <v>0.52</v>
      </c>
    </row>
    <row r="5" spans="1:25" x14ac:dyDescent="0.2">
      <c r="A5" t="s">
        <v>154</v>
      </c>
      <c r="B5">
        <v>2.8000000000000001E-2</v>
      </c>
      <c r="E5" t="s">
        <v>31</v>
      </c>
      <c r="F5">
        <f>SQRT(radius_throat^2/2)</f>
        <v>9.1923881554251182E-3</v>
      </c>
      <c r="J5" t="s">
        <v>57</v>
      </c>
      <c r="K5">
        <f>radius_inj_end*sqr_frac</f>
        <v>1.2583333333333334E-2</v>
      </c>
      <c r="M5" t="s">
        <v>63</v>
      </c>
      <c r="N5">
        <f>N4*sqr_frac</f>
        <v>1.4E-2</v>
      </c>
      <c r="P5" t="s">
        <v>83</v>
      </c>
      <c r="Q5">
        <f>sqr_frac*Q4</f>
        <v>0.26</v>
      </c>
    </row>
    <row r="6" spans="1:25" x14ac:dyDescent="0.2">
      <c r="A6" t="s">
        <v>152</v>
      </c>
      <c r="B6" s="8">
        <v>0.8</v>
      </c>
      <c r="E6" t="s">
        <v>56</v>
      </c>
      <c r="F6">
        <f>radius_throat+B14*pos_inj</f>
        <v>2.5000000000000001E-2</v>
      </c>
      <c r="J6" t="s">
        <v>156</v>
      </c>
      <c r="K6">
        <f>SQRT(radius_inj_start^2-radius_injector^2)</f>
        <v>2.4979991993593596E-2</v>
      </c>
      <c r="M6" t="s">
        <v>78</v>
      </c>
      <c r="N6">
        <f>SQRT(radius_noz_end^2-(radius_injector*radius_noz_end/F6)^2)</f>
        <v>2.7977591032824826E-2</v>
      </c>
      <c r="P6" t="s">
        <v>84</v>
      </c>
      <c r="Q6">
        <f>SQRT(radius_outlet^2-(radius_injector*radius_outlet/radius_inj_end)^2)</f>
        <v>0.51958932952526993</v>
      </c>
    </row>
    <row r="7" spans="1:25" x14ac:dyDescent="0.2">
      <c r="A7" t="s">
        <v>2</v>
      </c>
      <c r="B7">
        <f>Nozzle_length*B6</f>
        <v>7.1999999999999995E-2</v>
      </c>
      <c r="E7" t="s">
        <v>155</v>
      </c>
      <c r="F7">
        <f>sqr_frac*radius_throat</f>
        <v>6.4999999999999997E-3</v>
      </c>
      <c r="J7" t="s">
        <v>58</v>
      </c>
      <c r="K7">
        <f>SQRT(radius_inj_end^2-radius_injector^2)</f>
        <v>2.5146791268690943E-2</v>
      </c>
      <c r="M7" t="s">
        <v>79</v>
      </c>
      <c r="N7">
        <f>SQRT(radius_noz_end^2/2)</f>
        <v>1.9798989873223333E-2</v>
      </c>
      <c r="P7" t="s">
        <v>85</v>
      </c>
      <c r="Q7">
        <f>SQRT(radius_outlet^2/2)</f>
        <v>0.36769552621700474</v>
      </c>
      <c r="S7" t="s">
        <v>247</v>
      </c>
      <c r="T7">
        <f>SQRT(radius_outlet^2/2)</f>
        <v>0.36769552621700474</v>
      </c>
    </row>
    <row r="8" spans="1:25" x14ac:dyDescent="0.2">
      <c r="A8" t="s">
        <v>3</v>
      </c>
      <c r="B8">
        <v>0.5</v>
      </c>
      <c r="J8" t="s">
        <v>157</v>
      </c>
      <c r="K8">
        <f>SQRT(radius_inj_start^2/2)</f>
        <v>1.7677669529663691E-2</v>
      </c>
    </row>
    <row r="9" spans="1:25" x14ac:dyDescent="0.2">
      <c r="A9" t="s">
        <v>103</v>
      </c>
      <c r="B9">
        <v>5.0000000000000001E-4</v>
      </c>
      <c r="E9" t="s">
        <v>104</v>
      </c>
      <c r="J9" t="s">
        <v>59</v>
      </c>
      <c r="K9">
        <f>SQRT(radius_inj_end^2/2)</f>
        <v>1.7795520659861445E-2</v>
      </c>
    </row>
    <row r="10" spans="1:25" x14ac:dyDescent="0.2">
      <c r="A10" t="s">
        <v>107</v>
      </c>
      <c r="B10">
        <f>40*radius_throat</f>
        <v>0.52</v>
      </c>
      <c r="E10" t="s">
        <v>102</v>
      </c>
      <c r="F10">
        <f>radius_inj_start+B9</f>
        <v>2.5500000000000002E-2</v>
      </c>
    </row>
    <row r="11" spans="1:25" x14ac:dyDescent="0.2">
      <c r="A11" t="s">
        <v>106</v>
      </c>
      <c r="B11">
        <f>-Nozzle_length*25</f>
        <v>-2.25</v>
      </c>
      <c r="I11" t="s">
        <v>105</v>
      </c>
      <c r="L11" t="s">
        <v>37</v>
      </c>
      <c r="O11" t="s">
        <v>128</v>
      </c>
    </row>
    <row r="12" spans="1:25" x14ac:dyDescent="0.2">
      <c r="A12" t="s">
        <v>146</v>
      </c>
      <c r="B12">
        <v>500</v>
      </c>
      <c r="I12" t="s">
        <v>108</v>
      </c>
      <c r="J12">
        <f>sqr_frac*radius_inlet</f>
        <v>0.26</v>
      </c>
    </row>
    <row r="13" spans="1:25" x14ac:dyDescent="0.2">
      <c r="A13" t="s">
        <v>148</v>
      </c>
      <c r="B13">
        <v>0.09</v>
      </c>
      <c r="I13" t="s">
        <v>109</v>
      </c>
      <c r="J13">
        <f>SQRT(radius_inlet^2-(radius_injector*radius_inlet/radius_inj_end)^2)</f>
        <v>0.51958932952526993</v>
      </c>
    </row>
    <row r="14" spans="1:25" x14ac:dyDescent="0.2">
      <c r="A14" t="s">
        <v>153</v>
      </c>
      <c r="B14">
        <f>(B5-radius_throat)/Nozzle_length</f>
        <v>0.16666666666666669</v>
      </c>
      <c r="I14" t="s">
        <v>110</v>
      </c>
      <c r="J14">
        <f>SQRT(radius_inlet^2/2)</f>
        <v>0.36769552621700474</v>
      </c>
      <c r="L14" t="s">
        <v>123</v>
      </c>
      <c r="M14">
        <f>SQRT(radius_throat^2/2)</f>
        <v>9.1923881554251182E-3</v>
      </c>
      <c r="O14" t="s">
        <v>129</v>
      </c>
      <c r="P14" s="5">
        <f>SQRT(radius_inj_start^2/2)</f>
        <v>1.7677669529663691E-2</v>
      </c>
      <c r="R14" t="s">
        <v>134</v>
      </c>
      <c r="S14" s="5">
        <f>SQRT(radius_inj_end^2/2)</f>
        <v>1.7795520659861445E-2</v>
      </c>
      <c r="U14" t="s">
        <v>139</v>
      </c>
      <c r="V14" s="5">
        <f>SQRT(radius_noz_end^2/2)</f>
        <v>1.9798989873223333E-2</v>
      </c>
      <c r="X14" s="5" t="s">
        <v>165</v>
      </c>
      <c r="Y14" s="5">
        <f>SQRT(radius_outlet^2/2)</f>
        <v>0.36769552621700474</v>
      </c>
    </row>
    <row r="15" spans="1:25" x14ac:dyDescent="0.2">
      <c r="A15" t="s">
        <v>158</v>
      </c>
      <c r="B15">
        <v>20</v>
      </c>
      <c r="I15" t="s">
        <v>119</v>
      </c>
      <c r="J15">
        <f>SQRT(radius_inlet^2-(support_wall_inlet/2)^2)</f>
        <v>0.48641546028061239</v>
      </c>
      <c r="L15" t="s">
        <v>124</v>
      </c>
      <c r="M15">
        <f>SQRT(radius_throat^2-(support_wall_throat/2)^2)</f>
        <v>1.2160386507015309E-2</v>
      </c>
      <c r="O15" t="s">
        <v>130</v>
      </c>
      <c r="P15" s="5">
        <f>SQRT(radius_inj_start^2-(support_wall_inj_start/2)^2)</f>
        <v>2.3385358667337135E-2</v>
      </c>
      <c r="R15" t="s">
        <v>135</v>
      </c>
      <c r="S15" s="5">
        <f>SQRT(radius_inj_end^2-(support_wall_inj_end/2)^2)</f>
        <v>2.3541261058452712E-2</v>
      </c>
      <c r="U15" t="s">
        <v>142</v>
      </c>
      <c r="V15" s="5">
        <f>SQRT(radius_noz_end^2-(support_wall_noz/2)^2)</f>
        <v>2.6191601707417592E-2</v>
      </c>
      <c r="X15" s="5" t="s">
        <v>166</v>
      </c>
      <c r="Y15" s="5">
        <f>SQRT(radius_outlet^2-(support_outlet/2)^2)</f>
        <v>0.48641546028061239</v>
      </c>
    </row>
    <row r="16" spans="1:25" x14ac:dyDescent="0.2">
      <c r="A16" t="s">
        <v>159</v>
      </c>
      <c r="B16">
        <v>15</v>
      </c>
      <c r="I16" t="s">
        <v>120</v>
      </c>
      <c r="J16">
        <f>-SQRT(radius_inlet^2-arc_inlet_y^2)</f>
        <v>-0.18384776310850243</v>
      </c>
      <c r="L16" t="s">
        <v>125</v>
      </c>
      <c r="M16">
        <f>-SQRT(radius_throat^2-arc_throat_y^2)</f>
        <v>-4.59619407771256E-3</v>
      </c>
      <c r="O16" t="s">
        <v>131</v>
      </c>
      <c r="P16" s="5">
        <f>-SQRT(radius_inj_start^2-arc_inj_start_y^2)</f>
        <v>-8.8388347648318474E-3</v>
      </c>
      <c r="R16" t="s">
        <v>136</v>
      </c>
      <c r="S16" s="5">
        <f>-SQRT(radius_inj_end^2-arc_inj_end_y^2)</f>
        <v>-8.8977603299307314E-3</v>
      </c>
      <c r="U16" t="s">
        <v>143</v>
      </c>
      <c r="V16" s="5">
        <f>-SQRT(radius_noz_end^2-arc_noz_y^2)</f>
        <v>-9.899494936611665E-3</v>
      </c>
      <c r="X16" s="5" t="s">
        <v>167</v>
      </c>
      <c r="Y16" s="5">
        <f>-SQRT(radius_outlet^2-arc_out_y^2)</f>
        <v>-0.18384776310850243</v>
      </c>
    </row>
    <row r="17" spans="1:25" x14ac:dyDescent="0.2">
      <c r="I17" t="s">
        <v>121</v>
      </c>
      <c r="J17">
        <f>SQRT(radius_inlet^2-arc_inle_inj_z^2)</f>
        <v>0.51961524227066325</v>
      </c>
      <c r="L17" t="s">
        <v>126</v>
      </c>
      <c r="M17">
        <f>SQRT(radius_throat^2-arc_throat_inj_z^2)</f>
        <v>1.299038105676658E-2</v>
      </c>
      <c r="O17" t="s">
        <v>132</v>
      </c>
      <c r="P17" s="5">
        <f>SQRT(radius_inj_start^2-P18^2)</f>
        <v>2.4994999499899976E-2</v>
      </c>
      <c r="R17" t="s">
        <v>137</v>
      </c>
      <c r="S17" s="5">
        <f>SQRT(radius_inj_end^2-arc_inj_end_inj_z^2)</f>
        <v>2.5161699289020824E-2</v>
      </c>
      <c r="U17" t="s">
        <v>140</v>
      </c>
      <c r="V17" s="5">
        <f>SQRT(radius_noz_end^2-arc_inj_noz_z^2)</f>
        <v>2.7994399439887973E-2</v>
      </c>
      <c r="X17" s="5" t="s">
        <v>168</v>
      </c>
      <c r="Y17" s="5">
        <f>SQRT(radius_outlet^2-arc_inj_out_z^2)</f>
        <v>0.51989598959791949</v>
      </c>
    </row>
    <row r="18" spans="1:25" x14ac:dyDescent="0.2">
      <c r="I18" t="s">
        <v>122</v>
      </c>
      <c r="J18">
        <f>-(radius_injector*radius_inlet/radius_throat)/2</f>
        <v>-2.0000000000000004E-2</v>
      </c>
      <c r="L18" t="s">
        <v>127</v>
      </c>
      <c r="M18">
        <f>-(radius_injector)/2</f>
        <v>-5.0000000000000001E-4</v>
      </c>
      <c r="O18" t="s">
        <v>133</v>
      </c>
      <c r="P18" s="5">
        <f>-(radius_injector)/2</f>
        <v>-5.0000000000000001E-4</v>
      </c>
      <c r="R18" t="s">
        <v>138</v>
      </c>
      <c r="S18" s="5">
        <f>-(radius_injector)/2</f>
        <v>-5.0000000000000001E-4</v>
      </c>
      <c r="U18" t="s">
        <v>141</v>
      </c>
      <c r="V18" s="5">
        <f>-(radius_injector*radius_noz_end/radius_inj_start)/2</f>
        <v>-5.5999999999999995E-4</v>
      </c>
      <c r="X18" s="5" t="s">
        <v>169</v>
      </c>
      <c r="Y18" s="5">
        <f>-(radius_injector*radius_outlet/radius_inj_start)/2</f>
        <v>-1.0400000000000001E-2</v>
      </c>
    </row>
    <row r="26" spans="1:25" x14ac:dyDescent="0.2">
      <c r="A26" t="s">
        <v>145</v>
      </c>
    </row>
    <row r="30" spans="1:25" x14ac:dyDescent="0.2">
      <c r="A30" t="s">
        <v>147</v>
      </c>
      <c r="B30">
        <f>INT(pos_inj/Nozzle_length*NX_nozzle_total)</f>
        <v>400</v>
      </c>
    </row>
    <row r="31" spans="1:25" x14ac:dyDescent="0.2">
      <c r="A31" t="s">
        <v>149</v>
      </c>
      <c r="B31">
        <v>10</v>
      </c>
    </row>
    <row r="32" spans="1:25" x14ac:dyDescent="0.2">
      <c r="A32" t="s">
        <v>150</v>
      </c>
      <c r="B32">
        <f>NX_nozzle_total-B30</f>
        <v>100</v>
      </c>
    </row>
    <row r="33" spans="1:2" x14ac:dyDescent="0.2">
      <c r="A33" t="s">
        <v>160</v>
      </c>
      <c r="B33">
        <f>INT(B15/3)</f>
        <v>6</v>
      </c>
    </row>
    <row r="34" spans="1:2" x14ac:dyDescent="0.2">
      <c r="A34" t="s">
        <v>161</v>
      </c>
      <c r="B34">
        <f>B15/2</f>
        <v>10</v>
      </c>
    </row>
    <row r="35" spans="1:2" x14ac:dyDescent="0.2">
      <c r="A35" t="s">
        <v>162</v>
      </c>
      <c r="B35">
        <f>Ny_outer</f>
        <v>6</v>
      </c>
    </row>
    <row r="38" spans="1:2" x14ac:dyDescent="0.2">
      <c r="A38" t="s">
        <v>163</v>
      </c>
      <c r="B38">
        <v>1E-3</v>
      </c>
    </row>
    <row r="39" spans="1:2" x14ac:dyDescent="0.2">
      <c r="A39" t="s">
        <v>164</v>
      </c>
      <c r="B39">
        <f>1/B38</f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AF36-8B6A-FB47-9128-FB7A609039BC}">
  <dimension ref="A1:E96"/>
  <sheetViews>
    <sheetView tabSelected="1" topLeftCell="A36" workbookViewId="0">
      <selection activeCell="G8" sqref="G8"/>
    </sheetView>
  </sheetViews>
  <sheetFormatPr baseColWidth="10" defaultRowHeight="16" x14ac:dyDescent="0.2"/>
  <sheetData>
    <row r="1" spans="1:5" x14ac:dyDescent="0.2">
      <c r="A1" t="s">
        <v>170</v>
      </c>
    </row>
    <row r="2" spans="1:5" x14ac:dyDescent="0.2">
      <c r="A2" t="s">
        <v>9</v>
      </c>
    </row>
    <row r="3" spans="1:5" x14ac:dyDescent="0.2">
      <c r="B3" t="s">
        <v>171</v>
      </c>
    </row>
    <row r="4" spans="1:5" x14ac:dyDescent="0.2">
      <c r="B4" t="s">
        <v>172</v>
      </c>
    </row>
    <row r="5" spans="1:5" x14ac:dyDescent="0.2">
      <c r="B5" t="s">
        <v>173</v>
      </c>
      <c r="C5" t="s">
        <v>174</v>
      </c>
    </row>
    <row r="6" spans="1:5" x14ac:dyDescent="0.2">
      <c r="B6" t="s">
        <v>175</v>
      </c>
    </row>
    <row r="7" spans="1:5" x14ac:dyDescent="0.2">
      <c r="B7" t="s">
        <v>9</v>
      </c>
    </row>
    <row r="8" spans="1:5" x14ac:dyDescent="0.2">
      <c r="B8" t="s">
        <v>176</v>
      </c>
      <c r="C8">
        <v>68</v>
      </c>
      <c r="D8">
        <v>69</v>
      </c>
      <c r="E8">
        <v>65</v>
      </c>
    </row>
    <row r="9" spans="1:5" x14ac:dyDescent="0.2">
      <c r="B9" t="s">
        <v>177</v>
      </c>
      <c r="C9">
        <v>74</v>
      </c>
      <c r="D9">
        <v>72</v>
      </c>
      <c r="E9">
        <v>69</v>
      </c>
    </row>
    <row r="10" spans="1:5" x14ac:dyDescent="0.2">
      <c r="B10" t="s">
        <v>178</v>
      </c>
      <c r="C10">
        <v>75</v>
      </c>
      <c r="D10">
        <v>73</v>
      </c>
      <c r="E10">
        <v>72</v>
      </c>
    </row>
    <row r="11" spans="1:5" x14ac:dyDescent="0.2">
      <c r="B11" t="s">
        <v>179</v>
      </c>
      <c r="C11">
        <v>72</v>
      </c>
      <c r="D11">
        <v>73</v>
      </c>
      <c r="E11">
        <v>70</v>
      </c>
    </row>
    <row r="12" spans="1:5" x14ac:dyDescent="0.2">
      <c r="B12" t="s">
        <v>180</v>
      </c>
      <c r="C12">
        <v>69</v>
      </c>
      <c r="D12">
        <v>70</v>
      </c>
      <c r="E12">
        <v>66</v>
      </c>
    </row>
    <row r="13" spans="1:5" x14ac:dyDescent="0.2">
      <c r="B13" t="s">
        <v>181</v>
      </c>
      <c r="C13">
        <v>73</v>
      </c>
      <c r="D13">
        <v>75</v>
      </c>
      <c r="E13">
        <v>71</v>
      </c>
    </row>
    <row r="14" spans="1:5" x14ac:dyDescent="0.2">
      <c r="A14" t="s">
        <v>182</v>
      </c>
      <c r="B14">
        <v>70</v>
      </c>
      <c r="C14">
        <v>71</v>
      </c>
      <c r="D14">
        <v>67</v>
      </c>
    </row>
    <row r="15" spans="1:5" x14ac:dyDescent="0.2">
      <c r="B15" t="s">
        <v>183</v>
      </c>
    </row>
    <row r="16" spans="1:5" x14ac:dyDescent="0.2">
      <c r="B16" t="s">
        <v>184</v>
      </c>
    </row>
    <row r="18" spans="1:5" x14ac:dyDescent="0.2">
      <c r="B18" t="s">
        <v>185</v>
      </c>
    </row>
    <row r="19" spans="1:5" x14ac:dyDescent="0.2">
      <c r="B19" t="s">
        <v>172</v>
      </c>
    </row>
    <row r="20" spans="1:5" x14ac:dyDescent="0.2">
      <c r="B20" t="s">
        <v>173</v>
      </c>
      <c r="C20" t="s">
        <v>174</v>
      </c>
    </row>
    <row r="21" spans="1:5" x14ac:dyDescent="0.2">
      <c r="B21" t="s">
        <v>175</v>
      </c>
    </row>
    <row r="22" spans="1:5" x14ac:dyDescent="0.2">
      <c r="B22" t="s">
        <v>9</v>
      </c>
    </row>
    <row r="23" spans="1:5" x14ac:dyDescent="0.2">
      <c r="B23" t="s">
        <v>186</v>
      </c>
      <c r="C23">
        <v>49</v>
      </c>
      <c r="D23">
        <v>53</v>
      </c>
      <c r="E23">
        <v>52</v>
      </c>
    </row>
    <row r="24" spans="1:5" x14ac:dyDescent="0.2">
      <c r="A24" t="s">
        <v>187</v>
      </c>
      <c r="B24">
        <v>50</v>
      </c>
      <c r="C24">
        <v>54</v>
      </c>
      <c r="D24">
        <v>53</v>
      </c>
    </row>
    <row r="25" spans="1:5" x14ac:dyDescent="0.2">
      <c r="A25" t="s">
        <v>188</v>
      </c>
      <c r="B25">
        <v>51</v>
      </c>
      <c r="C25">
        <v>55</v>
      </c>
      <c r="D25">
        <v>54</v>
      </c>
    </row>
    <row r="26" spans="1:5" x14ac:dyDescent="0.2">
      <c r="A26" t="s">
        <v>189</v>
      </c>
      <c r="B26">
        <v>53</v>
      </c>
      <c r="C26">
        <v>56</v>
      </c>
      <c r="D26">
        <v>58</v>
      </c>
    </row>
    <row r="27" spans="1:5" x14ac:dyDescent="0.2">
      <c r="A27" t="s">
        <v>190</v>
      </c>
      <c r="B27">
        <v>57</v>
      </c>
      <c r="C27">
        <v>59</v>
      </c>
      <c r="D27">
        <v>58</v>
      </c>
    </row>
    <row r="28" spans="1:5" x14ac:dyDescent="0.2">
      <c r="A28" t="s">
        <v>191</v>
      </c>
      <c r="B28">
        <v>54</v>
      </c>
      <c r="C28">
        <v>55</v>
      </c>
      <c r="D28">
        <v>59</v>
      </c>
    </row>
    <row r="29" spans="1:5" x14ac:dyDescent="0.2">
      <c r="A29" t="s">
        <v>192</v>
      </c>
      <c r="B29">
        <v>56</v>
      </c>
      <c r="C29">
        <v>57</v>
      </c>
      <c r="D29">
        <v>54</v>
      </c>
    </row>
    <row r="30" spans="1:5" x14ac:dyDescent="0.2">
      <c r="B30" t="s">
        <v>183</v>
      </c>
    </row>
    <row r="31" spans="1:5" x14ac:dyDescent="0.2">
      <c r="B31" t="s">
        <v>184</v>
      </c>
    </row>
    <row r="33" spans="1:5" x14ac:dyDescent="0.2">
      <c r="B33" t="s">
        <v>193</v>
      </c>
    </row>
    <row r="34" spans="1:5" x14ac:dyDescent="0.2">
      <c r="B34" t="s">
        <v>172</v>
      </c>
    </row>
    <row r="35" spans="1:5" x14ac:dyDescent="0.2">
      <c r="B35" t="s">
        <v>173</v>
      </c>
      <c r="C35" t="s">
        <v>174</v>
      </c>
    </row>
    <row r="36" spans="1:5" x14ac:dyDescent="0.2">
      <c r="B36" t="s">
        <v>175</v>
      </c>
    </row>
    <row r="37" spans="1:5" x14ac:dyDescent="0.2">
      <c r="B37" t="s">
        <v>9</v>
      </c>
    </row>
    <row r="38" spans="1:5" x14ac:dyDescent="0.2">
      <c r="B38" t="s">
        <v>194</v>
      </c>
      <c r="C38">
        <v>61</v>
      </c>
      <c r="D38">
        <v>60</v>
      </c>
      <c r="E38">
        <v>62</v>
      </c>
    </row>
    <row r="39" spans="1:5" x14ac:dyDescent="0.2">
      <c r="B39" t="s">
        <v>183</v>
      </c>
    </row>
    <row r="40" spans="1:5" x14ac:dyDescent="0.2">
      <c r="B40" t="s">
        <v>184</v>
      </c>
    </row>
    <row r="42" spans="1:5" x14ac:dyDescent="0.2">
      <c r="A42" t="s">
        <v>195</v>
      </c>
    </row>
    <row r="43" spans="1:5" x14ac:dyDescent="0.2">
      <c r="A43" t="s">
        <v>172</v>
      </c>
    </row>
    <row r="44" spans="1:5" x14ac:dyDescent="0.2">
      <c r="B44" t="s">
        <v>173</v>
      </c>
      <c r="C44" t="s">
        <v>196</v>
      </c>
    </row>
    <row r="45" spans="1:5" x14ac:dyDescent="0.2">
      <c r="B45" t="s">
        <v>175</v>
      </c>
    </row>
    <row r="46" spans="1:5" x14ac:dyDescent="0.2">
      <c r="B46" t="s">
        <v>9</v>
      </c>
    </row>
    <row r="47" spans="1:5" x14ac:dyDescent="0.2">
      <c r="A47" t="s">
        <v>176</v>
      </c>
      <c r="B47">
        <v>0</v>
      </c>
      <c r="C47">
        <v>3</v>
      </c>
      <c r="D47">
        <v>68</v>
      </c>
    </row>
    <row r="48" spans="1:5" x14ac:dyDescent="0.2">
      <c r="A48" t="s">
        <v>177</v>
      </c>
      <c r="B48">
        <v>3</v>
      </c>
      <c r="C48">
        <v>20</v>
      </c>
      <c r="D48">
        <v>74</v>
      </c>
    </row>
    <row r="49" spans="1:4" x14ac:dyDescent="0.2">
      <c r="A49" t="s">
        <v>178</v>
      </c>
      <c r="B49">
        <v>20</v>
      </c>
      <c r="C49">
        <v>21</v>
      </c>
      <c r="D49">
        <v>75</v>
      </c>
    </row>
    <row r="50" spans="1:4" x14ac:dyDescent="0.2">
      <c r="A50" t="s">
        <v>197</v>
      </c>
      <c r="B50">
        <v>21</v>
      </c>
      <c r="C50">
        <v>7</v>
      </c>
      <c r="D50">
        <v>71</v>
      </c>
    </row>
    <row r="51" spans="1:4" x14ac:dyDescent="0.2">
      <c r="A51" t="s">
        <v>198</v>
      </c>
      <c r="B51">
        <v>7</v>
      </c>
      <c r="C51">
        <v>4</v>
      </c>
      <c r="D51">
        <v>67</v>
      </c>
    </row>
    <row r="52" spans="1:4" x14ac:dyDescent="0.2">
      <c r="A52" t="s">
        <v>199</v>
      </c>
      <c r="B52">
        <v>8</v>
      </c>
      <c r="C52">
        <v>11</v>
      </c>
      <c r="D52">
        <v>3</v>
      </c>
    </row>
    <row r="53" spans="1:4" x14ac:dyDescent="0.2">
      <c r="A53" t="s">
        <v>200</v>
      </c>
      <c r="B53">
        <v>11</v>
      </c>
      <c r="C53">
        <v>22</v>
      </c>
      <c r="D53">
        <v>20</v>
      </c>
    </row>
    <row r="54" spans="1:4" x14ac:dyDescent="0.2">
      <c r="A54" t="s">
        <v>201</v>
      </c>
      <c r="B54">
        <v>22</v>
      </c>
      <c r="C54">
        <v>23</v>
      </c>
      <c r="D54">
        <v>21</v>
      </c>
    </row>
    <row r="55" spans="1:4" x14ac:dyDescent="0.2">
      <c r="A55" t="s">
        <v>202</v>
      </c>
      <c r="B55">
        <v>23</v>
      </c>
      <c r="C55">
        <v>15</v>
      </c>
      <c r="D55">
        <v>7</v>
      </c>
    </row>
    <row r="56" spans="1:4" x14ac:dyDescent="0.2">
      <c r="A56" t="s">
        <v>203</v>
      </c>
      <c r="B56">
        <v>15</v>
      </c>
      <c r="C56">
        <v>12</v>
      </c>
      <c r="D56">
        <v>4</v>
      </c>
    </row>
    <row r="57" spans="1:4" x14ac:dyDescent="0.2">
      <c r="A57" t="s">
        <v>204</v>
      </c>
      <c r="B57">
        <v>36</v>
      </c>
      <c r="C57">
        <v>40</v>
      </c>
      <c r="D57">
        <v>28</v>
      </c>
    </row>
    <row r="58" spans="1:4" x14ac:dyDescent="0.2">
      <c r="A58" t="s">
        <v>205</v>
      </c>
      <c r="B58">
        <v>40</v>
      </c>
      <c r="C58">
        <v>46</v>
      </c>
      <c r="D58">
        <v>32</v>
      </c>
    </row>
    <row r="59" spans="1:4" x14ac:dyDescent="0.2">
      <c r="A59" t="s">
        <v>206</v>
      </c>
      <c r="B59">
        <v>46</v>
      </c>
      <c r="C59">
        <v>47</v>
      </c>
      <c r="D59">
        <v>33</v>
      </c>
    </row>
    <row r="60" spans="1:4" x14ac:dyDescent="0.2">
      <c r="A60" t="s">
        <v>207</v>
      </c>
      <c r="B60">
        <v>47</v>
      </c>
      <c r="C60">
        <v>43</v>
      </c>
      <c r="D60">
        <v>31</v>
      </c>
    </row>
    <row r="61" spans="1:4" x14ac:dyDescent="0.2">
      <c r="A61" t="s">
        <v>208</v>
      </c>
      <c r="B61">
        <v>43</v>
      </c>
      <c r="C61">
        <v>39</v>
      </c>
      <c r="D61">
        <v>27</v>
      </c>
    </row>
    <row r="62" spans="1:4" x14ac:dyDescent="0.2">
      <c r="A62" t="s">
        <v>209</v>
      </c>
      <c r="B62">
        <v>48</v>
      </c>
      <c r="C62">
        <v>52</v>
      </c>
      <c r="D62">
        <v>40</v>
      </c>
    </row>
    <row r="63" spans="1:4" x14ac:dyDescent="0.2">
      <c r="A63" t="s">
        <v>210</v>
      </c>
      <c r="B63">
        <v>52</v>
      </c>
      <c r="C63">
        <v>58</v>
      </c>
      <c r="D63">
        <v>46</v>
      </c>
    </row>
    <row r="64" spans="1:4" x14ac:dyDescent="0.2">
      <c r="A64" t="s">
        <v>211</v>
      </c>
      <c r="B64">
        <v>58</v>
      </c>
      <c r="C64">
        <v>59</v>
      </c>
      <c r="D64">
        <v>47</v>
      </c>
    </row>
    <row r="65" spans="1:4" x14ac:dyDescent="0.2">
      <c r="A65" t="s">
        <v>212</v>
      </c>
      <c r="B65">
        <v>59</v>
      </c>
      <c r="C65">
        <v>55</v>
      </c>
      <c r="D65">
        <v>43</v>
      </c>
    </row>
    <row r="66" spans="1:4" x14ac:dyDescent="0.2">
      <c r="A66" t="s">
        <v>213</v>
      </c>
      <c r="B66">
        <v>55</v>
      </c>
      <c r="C66">
        <v>51</v>
      </c>
      <c r="D66">
        <v>39</v>
      </c>
    </row>
    <row r="67" spans="1:4" x14ac:dyDescent="0.2">
      <c r="A67" t="s">
        <v>214</v>
      </c>
      <c r="B67">
        <v>62</v>
      </c>
      <c r="C67">
        <v>11</v>
      </c>
      <c r="D67">
        <v>8</v>
      </c>
    </row>
    <row r="68" spans="1:4" x14ac:dyDescent="0.2">
      <c r="A68" t="s">
        <v>215</v>
      </c>
      <c r="B68">
        <v>63</v>
      </c>
      <c r="C68">
        <v>28</v>
      </c>
      <c r="D68">
        <v>11</v>
      </c>
    </row>
    <row r="69" spans="1:4" x14ac:dyDescent="0.2">
      <c r="A69" t="s">
        <v>194</v>
      </c>
      <c r="B69">
        <v>61</v>
      </c>
      <c r="C69">
        <v>24</v>
      </c>
      <c r="D69">
        <v>28</v>
      </c>
    </row>
    <row r="70" spans="1:4" x14ac:dyDescent="0.2">
      <c r="B70" t="s">
        <v>183</v>
      </c>
    </row>
    <row r="71" spans="1:4" x14ac:dyDescent="0.2">
      <c r="B71" t="s">
        <v>184</v>
      </c>
    </row>
    <row r="73" spans="1:4" x14ac:dyDescent="0.2">
      <c r="A73" t="s">
        <v>216</v>
      </c>
    </row>
    <row r="74" spans="1:4" x14ac:dyDescent="0.2">
      <c r="A74" t="s">
        <v>172</v>
      </c>
    </row>
    <row r="75" spans="1:4" x14ac:dyDescent="0.2">
      <c r="A75" t="s">
        <v>173</v>
      </c>
      <c r="B75" t="s">
        <v>217</v>
      </c>
    </row>
    <row r="76" spans="1:4" x14ac:dyDescent="0.2">
      <c r="A76" t="s">
        <v>175</v>
      </c>
    </row>
    <row r="77" spans="1:4" x14ac:dyDescent="0.2">
      <c r="A77" t="s">
        <v>9</v>
      </c>
    </row>
    <row r="78" spans="1:4" x14ac:dyDescent="0.2">
      <c r="A78" t="s">
        <v>176</v>
      </c>
      <c r="B78">
        <v>65</v>
      </c>
      <c r="C78">
        <v>1</v>
      </c>
      <c r="D78">
        <v>0</v>
      </c>
    </row>
    <row r="79" spans="1:4" x14ac:dyDescent="0.2">
      <c r="A79" t="s">
        <v>180</v>
      </c>
      <c r="B79">
        <v>66</v>
      </c>
      <c r="C79">
        <v>5</v>
      </c>
      <c r="D79">
        <v>1</v>
      </c>
    </row>
    <row r="80" spans="1:4" x14ac:dyDescent="0.2">
      <c r="A80" t="s">
        <v>182</v>
      </c>
      <c r="B80">
        <v>67</v>
      </c>
      <c r="C80">
        <v>4</v>
      </c>
      <c r="D80">
        <v>5</v>
      </c>
    </row>
    <row r="81" spans="1:4" x14ac:dyDescent="0.2">
      <c r="A81" t="s">
        <v>199</v>
      </c>
      <c r="B81">
        <v>1</v>
      </c>
      <c r="C81">
        <v>9</v>
      </c>
      <c r="D81">
        <v>8</v>
      </c>
    </row>
    <row r="82" spans="1:4" x14ac:dyDescent="0.2">
      <c r="A82" t="s">
        <v>218</v>
      </c>
      <c r="B82">
        <v>5</v>
      </c>
      <c r="C82">
        <v>13</v>
      </c>
      <c r="D82">
        <v>9</v>
      </c>
    </row>
    <row r="83" spans="1:4" x14ac:dyDescent="0.2">
      <c r="A83" t="s">
        <v>219</v>
      </c>
      <c r="B83">
        <v>4</v>
      </c>
      <c r="C83">
        <v>12</v>
      </c>
      <c r="D83">
        <v>13</v>
      </c>
    </row>
    <row r="84" spans="1:4" x14ac:dyDescent="0.2">
      <c r="A84" t="s">
        <v>220</v>
      </c>
      <c r="B84">
        <v>9</v>
      </c>
      <c r="C84">
        <v>25</v>
      </c>
      <c r="D84">
        <v>24</v>
      </c>
    </row>
    <row r="85" spans="1:4" x14ac:dyDescent="0.2">
      <c r="A85" t="s">
        <v>221</v>
      </c>
      <c r="B85">
        <v>13</v>
      </c>
      <c r="C85">
        <v>26</v>
      </c>
      <c r="D85">
        <v>25</v>
      </c>
    </row>
    <row r="86" spans="1:4" x14ac:dyDescent="0.2">
      <c r="A86" t="s">
        <v>222</v>
      </c>
      <c r="B86">
        <v>12</v>
      </c>
      <c r="C86">
        <v>27</v>
      </c>
      <c r="D86">
        <v>26</v>
      </c>
    </row>
    <row r="87" spans="1:4" x14ac:dyDescent="0.2">
      <c r="A87" t="s">
        <v>204</v>
      </c>
      <c r="B87">
        <v>25</v>
      </c>
      <c r="C87">
        <v>37</v>
      </c>
      <c r="D87">
        <v>36</v>
      </c>
    </row>
    <row r="88" spans="1:4" x14ac:dyDescent="0.2">
      <c r="A88" t="s">
        <v>223</v>
      </c>
      <c r="B88">
        <v>26</v>
      </c>
      <c r="C88">
        <v>38</v>
      </c>
      <c r="D88">
        <v>37</v>
      </c>
    </row>
    <row r="89" spans="1:4" x14ac:dyDescent="0.2">
      <c r="A89" t="s">
        <v>224</v>
      </c>
      <c r="B89">
        <v>27</v>
      </c>
      <c r="C89">
        <v>39</v>
      </c>
      <c r="D89">
        <v>38</v>
      </c>
    </row>
    <row r="90" spans="1:4" x14ac:dyDescent="0.2">
      <c r="A90" t="s">
        <v>209</v>
      </c>
      <c r="B90">
        <v>37</v>
      </c>
      <c r="C90">
        <v>49</v>
      </c>
      <c r="D90">
        <v>48</v>
      </c>
    </row>
    <row r="91" spans="1:4" x14ac:dyDescent="0.2">
      <c r="A91" t="s">
        <v>225</v>
      </c>
      <c r="B91">
        <v>38</v>
      </c>
      <c r="C91">
        <v>50</v>
      </c>
      <c r="D91">
        <v>49</v>
      </c>
    </row>
    <row r="92" spans="1:4" x14ac:dyDescent="0.2">
      <c r="A92" t="s">
        <v>226</v>
      </c>
      <c r="B92">
        <v>39</v>
      </c>
      <c r="C92">
        <v>51</v>
      </c>
      <c r="D92">
        <v>50</v>
      </c>
    </row>
    <row r="93" spans="1:4" x14ac:dyDescent="0.2">
      <c r="B93" t="s">
        <v>183</v>
      </c>
    </row>
    <row r="94" spans="1:4" x14ac:dyDescent="0.2">
      <c r="B94" t="s">
        <v>227</v>
      </c>
    </row>
    <row r="96" spans="1:4" x14ac:dyDescent="0.2">
      <c r="B9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DEB0-228F-904C-B8FA-8D0BB7A24EC9}">
  <sheetPr codeName="Sheet2"/>
  <dimension ref="A1:F180"/>
  <sheetViews>
    <sheetView workbookViewId="0">
      <selection activeCell="H99" sqref="H99"/>
    </sheetView>
  </sheetViews>
  <sheetFormatPr baseColWidth="10" defaultRowHeight="16" x14ac:dyDescent="0.2"/>
  <cols>
    <col min="1" max="1" width="2.6640625" customWidth="1"/>
    <col min="5" max="5" width="2.6640625" customWidth="1"/>
  </cols>
  <sheetData>
    <row r="1" spans="1:6" x14ac:dyDescent="0.2">
      <c r="A1" t="s">
        <v>8</v>
      </c>
    </row>
    <row r="3" spans="1:6" x14ac:dyDescent="0.2">
      <c r="A3" s="1" t="s">
        <v>9</v>
      </c>
      <c r="B3" s="4">
        <v>0</v>
      </c>
      <c r="C3" s="4">
        <f>radius_throat</f>
        <v>1.2999999999999999E-2</v>
      </c>
      <c r="D3" s="4">
        <v>0</v>
      </c>
      <c r="E3" s="4" t="s">
        <v>10</v>
      </c>
      <c r="F3" s="4" t="s">
        <v>11</v>
      </c>
    </row>
    <row r="4" spans="1:6" x14ac:dyDescent="0.2">
      <c r="A4" s="1" t="s">
        <v>9</v>
      </c>
      <c r="B4" s="4">
        <v>0</v>
      </c>
      <c r="C4" s="4">
        <f>sqr_frac_throat</f>
        <v>6.4999999999999997E-3</v>
      </c>
      <c r="D4" s="4">
        <v>0</v>
      </c>
      <c r="E4" s="4" t="s">
        <v>10</v>
      </c>
      <c r="F4" s="4" t="s">
        <v>12</v>
      </c>
    </row>
    <row r="5" spans="1:6" x14ac:dyDescent="0.2">
      <c r="A5" s="1" t="s">
        <v>9</v>
      </c>
      <c r="B5" s="4">
        <v>0</v>
      </c>
      <c r="C5" s="4">
        <f>sqr_frac_throat</f>
        <v>6.4999999999999997E-3</v>
      </c>
      <c r="D5" s="4">
        <f>-Data!B3</f>
        <v>-1E-3</v>
      </c>
      <c r="E5" s="4" t="s">
        <v>10</v>
      </c>
      <c r="F5" s="4" t="s">
        <v>13</v>
      </c>
    </row>
    <row r="6" spans="1:6" x14ac:dyDescent="0.2">
      <c r="A6" s="1" t="s">
        <v>9</v>
      </c>
      <c r="B6" s="4">
        <v>0</v>
      </c>
      <c r="C6" s="4">
        <f>throat_inj_wall</f>
        <v>1.296148139681572E-2</v>
      </c>
      <c r="D6" s="4">
        <f>-Data!B3</f>
        <v>-1E-3</v>
      </c>
      <c r="E6" s="4" t="s">
        <v>10</v>
      </c>
      <c r="F6" s="4" t="s">
        <v>14</v>
      </c>
    </row>
    <row r="7" spans="1:6" x14ac:dyDescent="0.2">
      <c r="A7" t="s">
        <v>9</v>
      </c>
      <c r="B7" s="4">
        <v>0</v>
      </c>
      <c r="C7" s="4">
        <f>-Data!B4</f>
        <v>-1.2999999999999999E-2</v>
      </c>
      <c r="D7" s="4">
        <v>0</v>
      </c>
      <c r="E7" s="4" t="s">
        <v>10</v>
      </c>
      <c r="F7" s="4" t="s">
        <v>15</v>
      </c>
    </row>
    <row r="8" spans="1:6" x14ac:dyDescent="0.2">
      <c r="A8" t="s">
        <v>9</v>
      </c>
      <c r="B8" s="4">
        <v>0</v>
      </c>
      <c r="C8" s="4">
        <f>-sqr_frac_throat</f>
        <v>-6.4999999999999997E-3</v>
      </c>
      <c r="D8" s="4">
        <v>0</v>
      </c>
      <c r="E8" s="4" t="s">
        <v>10</v>
      </c>
      <c r="F8" s="4" t="s">
        <v>16</v>
      </c>
    </row>
    <row r="9" spans="1:6" x14ac:dyDescent="0.2">
      <c r="A9" t="s">
        <v>9</v>
      </c>
      <c r="B9" s="4">
        <v>0</v>
      </c>
      <c r="C9" s="4">
        <f>-sqr_frac_throat</f>
        <v>-6.4999999999999997E-3</v>
      </c>
      <c r="D9" s="4">
        <f>-Data!B3</f>
        <v>-1E-3</v>
      </c>
      <c r="E9" s="4" t="s">
        <v>10</v>
      </c>
      <c r="F9" s="4" t="s">
        <v>17</v>
      </c>
    </row>
    <row r="10" spans="1:6" x14ac:dyDescent="0.2">
      <c r="A10" t="s">
        <v>9</v>
      </c>
      <c r="B10" s="4">
        <v>0</v>
      </c>
      <c r="C10" s="4">
        <f>-throat_inj_wall</f>
        <v>-1.296148139681572E-2</v>
      </c>
      <c r="D10" s="4">
        <f>-Data!B3</f>
        <v>-1E-3</v>
      </c>
      <c r="E10" s="4" t="s">
        <v>10</v>
      </c>
      <c r="F10" s="4" t="s">
        <v>18</v>
      </c>
    </row>
    <row r="11" spans="1:6" x14ac:dyDescent="0.2">
      <c r="A11" s="2" t="s">
        <v>9</v>
      </c>
      <c r="B11" s="2">
        <f t="shared" ref="B11:B18" si="0">pos_inj</f>
        <v>7.1999999999999995E-2</v>
      </c>
      <c r="C11" s="2">
        <f>radius_inj_start</f>
        <v>2.5000000000000001E-2</v>
      </c>
      <c r="D11" s="2">
        <v>0</v>
      </c>
      <c r="E11" s="2" t="s">
        <v>10</v>
      </c>
      <c r="F11" s="2" t="s">
        <v>19</v>
      </c>
    </row>
    <row r="12" spans="1:6" x14ac:dyDescent="0.2">
      <c r="A12" s="2" t="s">
        <v>9</v>
      </c>
      <c r="B12" s="2">
        <f t="shared" si="0"/>
        <v>7.1999999999999995E-2</v>
      </c>
      <c r="C12" s="2">
        <f>sqr_frac_inj_end</f>
        <v>1.2583333333333334E-2</v>
      </c>
      <c r="D12" s="2">
        <v>0</v>
      </c>
      <c r="E12" s="2" t="s">
        <v>10</v>
      </c>
      <c r="F12" s="2" t="s">
        <v>20</v>
      </c>
    </row>
    <row r="13" spans="1:6" x14ac:dyDescent="0.2">
      <c r="A13" s="2" t="s">
        <v>9</v>
      </c>
      <c r="B13" s="2">
        <f t="shared" si="0"/>
        <v>7.1999999999999995E-2</v>
      </c>
      <c r="C13" s="2">
        <f>sqr_frac_inj_end</f>
        <v>1.2583333333333334E-2</v>
      </c>
      <c r="D13" s="2">
        <f>-Data!B3</f>
        <v>-1E-3</v>
      </c>
      <c r="E13" s="2" t="s">
        <v>10</v>
      </c>
      <c r="F13" s="2" t="s">
        <v>21</v>
      </c>
    </row>
    <row r="14" spans="1:6" x14ac:dyDescent="0.2">
      <c r="A14" s="2" t="s">
        <v>9</v>
      </c>
      <c r="B14" s="2">
        <f t="shared" si="0"/>
        <v>7.1999999999999995E-2</v>
      </c>
      <c r="C14" s="2">
        <f>throat_inj_wall_start</f>
        <v>2.4979991993593596E-2</v>
      </c>
      <c r="D14" s="2">
        <f>-Data!B3</f>
        <v>-1E-3</v>
      </c>
      <c r="E14" s="2" t="s">
        <v>10</v>
      </c>
      <c r="F14" s="2" t="s">
        <v>22</v>
      </c>
    </row>
    <row r="15" spans="1:6" x14ac:dyDescent="0.2">
      <c r="A15" s="2" t="s">
        <v>9</v>
      </c>
      <c r="B15" s="2">
        <f t="shared" si="0"/>
        <v>7.1999999999999995E-2</v>
      </c>
      <c r="C15" s="2">
        <f>-radius_inj_start</f>
        <v>-2.5000000000000001E-2</v>
      </c>
      <c r="D15" s="2">
        <v>0</v>
      </c>
      <c r="E15" s="2" t="s">
        <v>10</v>
      </c>
      <c r="F15" s="2" t="s">
        <v>23</v>
      </c>
    </row>
    <row r="16" spans="1:6" x14ac:dyDescent="0.2">
      <c r="A16" s="2" t="s">
        <v>9</v>
      </c>
      <c r="B16" s="2">
        <f t="shared" si="0"/>
        <v>7.1999999999999995E-2</v>
      </c>
      <c r="C16" s="2">
        <f>-sqr_frac_inj_end</f>
        <v>-1.2583333333333334E-2</v>
      </c>
      <c r="D16" s="2">
        <v>0</v>
      </c>
      <c r="E16" s="2" t="s">
        <v>10</v>
      </c>
      <c r="F16" s="2" t="s">
        <v>24</v>
      </c>
    </row>
    <row r="17" spans="1:6" x14ac:dyDescent="0.2">
      <c r="A17" s="2" t="s">
        <v>9</v>
      </c>
      <c r="B17" s="2">
        <f t="shared" si="0"/>
        <v>7.1999999999999995E-2</v>
      </c>
      <c r="C17" s="2">
        <f>-sqr_frac_inj_end</f>
        <v>-1.2583333333333334E-2</v>
      </c>
      <c r="D17" s="2">
        <f>-Data!B3</f>
        <v>-1E-3</v>
      </c>
      <c r="E17" s="2" t="s">
        <v>10</v>
      </c>
      <c r="F17" s="2" t="s">
        <v>25</v>
      </c>
    </row>
    <row r="18" spans="1:6" x14ac:dyDescent="0.2">
      <c r="A18" t="s">
        <v>9</v>
      </c>
      <c r="B18">
        <f t="shared" si="0"/>
        <v>7.1999999999999995E-2</v>
      </c>
      <c r="C18">
        <f>-throat_inj_wall_start</f>
        <v>-2.4979991993593596E-2</v>
      </c>
      <c r="D18">
        <f>-Data!B3</f>
        <v>-1E-3</v>
      </c>
      <c r="E18" t="s">
        <v>10</v>
      </c>
      <c r="F18" s="2" t="s">
        <v>26</v>
      </c>
    </row>
    <row r="19" spans="1:6" x14ac:dyDescent="0.2">
      <c r="A19" s="4" t="s">
        <v>9</v>
      </c>
      <c r="B19" s="4">
        <v>0</v>
      </c>
      <c r="C19" s="4">
        <f>throat_sqr</f>
        <v>6.4999999999999997E-3</v>
      </c>
      <c r="D19" s="4">
        <f>-throat_sqr</f>
        <v>-6.4999999999999997E-3</v>
      </c>
      <c r="E19" s="4" t="s">
        <v>10</v>
      </c>
      <c r="F19" s="4" t="s">
        <v>27</v>
      </c>
    </row>
    <row r="20" spans="1:6" x14ac:dyDescent="0.2">
      <c r="A20" s="4" t="s">
        <v>9</v>
      </c>
      <c r="B20" s="4">
        <v>0</v>
      </c>
      <c r="C20" s="4">
        <f>-throat_sqr</f>
        <v>-6.4999999999999997E-3</v>
      </c>
      <c r="D20" s="4">
        <f>-throat_sqr</f>
        <v>-6.4999999999999997E-3</v>
      </c>
      <c r="E20" s="4" t="s">
        <v>10</v>
      </c>
      <c r="F20" s="4" t="s">
        <v>28</v>
      </c>
    </row>
    <row r="21" spans="1:6" x14ac:dyDescent="0.2">
      <c r="A21" t="s">
        <v>9</v>
      </c>
      <c r="B21">
        <f>pos_inj</f>
        <v>7.1999999999999995E-2</v>
      </c>
      <c r="C21">
        <f>sqr_frac_inj_end</f>
        <v>1.2583333333333334E-2</v>
      </c>
      <c r="D21">
        <f>-sqr_frac_inj_end</f>
        <v>-1.2583333333333334E-2</v>
      </c>
      <c r="E21" t="s">
        <v>10</v>
      </c>
      <c r="F21" s="2" t="s">
        <v>29</v>
      </c>
    </row>
    <row r="22" spans="1:6" x14ac:dyDescent="0.2">
      <c r="A22" t="s">
        <v>9</v>
      </c>
      <c r="B22">
        <f>pos_inj</f>
        <v>7.1999999999999995E-2</v>
      </c>
      <c r="C22">
        <f>-sqr_frac_inj_end</f>
        <v>-1.2583333333333334E-2</v>
      </c>
      <c r="D22">
        <f>-sqr_frac_inj_end</f>
        <v>-1.2583333333333334E-2</v>
      </c>
      <c r="E22" t="s">
        <v>10</v>
      </c>
      <c r="F22" s="2" t="s">
        <v>30</v>
      </c>
    </row>
    <row r="23" spans="1:6" x14ac:dyDescent="0.2">
      <c r="A23" s="4" t="s">
        <v>9</v>
      </c>
      <c r="B23" s="4">
        <v>0</v>
      </c>
      <c r="C23" s="4">
        <f>throat_support_wall</f>
        <v>9.1923881554251182E-3</v>
      </c>
      <c r="D23" s="4">
        <f>-throat_support_wall</f>
        <v>-9.1923881554251182E-3</v>
      </c>
      <c r="E23" s="4" t="s">
        <v>10</v>
      </c>
      <c r="F23" s="4" t="s">
        <v>32</v>
      </c>
    </row>
    <row r="24" spans="1:6" x14ac:dyDescent="0.2">
      <c r="A24" s="4" t="s">
        <v>9</v>
      </c>
      <c r="B24" s="4">
        <v>0</v>
      </c>
      <c r="C24" s="4">
        <f>-throat_support_wall</f>
        <v>-9.1923881554251182E-3</v>
      </c>
      <c r="D24" s="4">
        <f>-throat_support_wall</f>
        <v>-9.1923881554251182E-3</v>
      </c>
      <c r="E24" s="4" t="s">
        <v>10</v>
      </c>
      <c r="F24" s="4" t="s">
        <v>33</v>
      </c>
    </row>
    <row r="25" spans="1:6" x14ac:dyDescent="0.2">
      <c r="A25" t="s">
        <v>9</v>
      </c>
      <c r="B25" s="2">
        <f>pos_inj</f>
        <v>7.1999999999999995E-2</v>
      </c>
      <c r="C25" s="2">
        <f>throat_support_wall_start</f>
        <v>1.7677669529663691E-2</v>
      </c>
      <c r="D25" s="2">
        <f>-throat_support_wall_start</f>
        <v>-1.7677669529663691E-2</v>
      </c>
      <c r="E25" s="2" t="s">
        <v>10</v>
      </c>
      <c r="F25" s="2" t="s">
        <v>34</v>
      </c>
    </row>
    <row r="26" spans="1:6" x14ac:dyDescent="0.2">
      <c r="A26" t="s">
        <v>9</v>
      </c>
      <c r="B26" s="2">
        <f>pos_inj</f>
        <v>7.1999999999999995E-2</v>
      </c>
      <c r="C26" s="2">
        <f>-throat_support_wall_start</f>
        <v>-1.7677669529663691E-2</v>
      </c>
      <c r="D26" s="2">
        <f>-throat_support_wall_start</f>
        <v>-1.7677669529663691E-2</v>
      </c>
      <c r="E26" s="2" t="s">
        <v>10</v>
      </c>
      <c r="F26" s="2" t="s">
        <v>35</v>
      </c>
    </row>
    <row r="27" spans="1:6" x14ac:dyDescent="0.2">
      <c r="A27" t="s">
        <v>9</v>
      </c>
      <c r="B27" s="1">
        <f t="shared" ref="B27:B38" si="1">pos_inj_back</f>
        <v>7.3999999999999996E-2</v>
      </c>
      <c r="C27" s="1">
        <f>radius_inj_end</f>
        <v>2.5166666666666667E-2</v>
      </c>
      <c r="D27" s="1">
        <v>0</v>
      </c>
      <c r="E27" t="s">
        <v>10</v>
      </c>
      <c r="F27" s="1" t="s">
        <v>40</v>
      </c>
    </row>
    <row r="28" spans="1:6" x14ac:dyDescent="0.2">
      <c r="A28" t="s">
        <v>9</v>
      </c>
      <c r="B28" s="1">
        <f t="shared" si="1"/>
        <v>7.3999999999999996E-2</v>
      </c>
      <c r="C28">
        <f>sqr_frac_inj_end</f>
        <v>1.2583333333333334E-2</v>
      </c>
      <c r="D28">
        <v>0</v>
      </c>
      <c r="E28" t="s">
        <v>10</v>
      </c>
      <c r="F28" s="1" t="s">
        <v>41</v>
      </c>
    </row>
    <row r="29" spans="1:6" x14ac:dyDescent="0.2">
      <c r="A29" t="s">
        <v>9</v>
      </c>
      <c r="B29" s="1">
        <f t="shared" si="1"/>
        <v>7.3999999999999996E-2</v>
      </c>
      <c r="C29">
        <f>-sqr_frac_inj_end</f>
        <v>-1.2583333333333334E-2</v>
      </c>
      <c r="D29">
        <v>0</v>
      </c>
      <c r="E29" t="s">
        <v>10</v>
      </c>
      <c r="F29" s="1" t="s">
        <v>42</v>
      </c>
    </row>
    <row r="30" spans="1:6" x14ac:dyDescent="0.2">
      <c r="A30" t="s">
        <v>9</v>
      </c>
      <c r="B30" s="1">
        <f t="shared" si="1"/>
        <v>7.3999999999999996E-2</v>
      </c>
      <c r="C30">
        <f>-radius_inj_end</f>
        <v>-2.5166666666666667E-2</v>
      </c>
      <c r="D30">
        <v>0</v>
      </c>
      <c r="E30" t="s">
        <v>10</v>
      </c>
      <c r="F30" s="1" t="s">
        <v>43</v>
      </c>
    </row>
    <row r="31" spans="1:6" x14ac:dyDescent="0.2">
      <c r="A31" t="s">
        <v>9</v>
      </c>
      <c r="B31" s="1">
        <f t="shared" si="1"/>
        <v>7.3999999999999996E-2</v>
      </c>
      <c r="C31">
        <f>throat_inj_wall_end</f>
        <v>2.5146791268690943E-2</v>
      </c>
      <c r="D31">
        <f>-radius_injector</f>
        <v>-1E-3</v>
      </c>
      <c r="E31" t="s">
        <v>10</v>
      </c>
      <c r="F31" s="1" t="s">
        <v>44</v>
      </c>
    </row>
    <row r="32" spans="1:6" x14ac:dyDescent="0.2">
      <c r="A32" t="s">
        <v>9</v>
      </c>
      <c r="B32" s="1">
        <f t="shared" si="1"/>
        <v>7.3999999999999996E-2</v>
      </c>
      <c r="C32">
        <f>sqr_frac_inj_end</f>
        <v>1.2583333333333334E-2</v>
      </c>
      <c r="D32">
        <f>-radius_injector</f>
        <v>-1E-3</v>
      </c>
      <c r="E32" t="s">
        <v>10</v>
      </c>
      <c r="F32" s="1" t="s">
        <v>45</v>
      </c>
    </row>
    <row r="33" spans="1:6" x14ac:dyDescent="0.2">
      <c r="A33" t="s">
        <v>9</v>
      </c>
      <c r="B33" s="1">
        <f t="shared" si="1"/>
        <v>7.3999999999999996E-2</v>
      </c>
      <c r="C33">
        <f>-sqr_frac_inj_end</f>
        <v>-1.2583333333333334E-2</v>
      </c>
      <c r="D33">
        <f>-radius_injector</f>
        <v>-1E-3</v>
      </c>
      <c r="E33" t="s">
        <v>10</v>
      </c>
      <c r="F33" s="1" t="s">
        <v>46</v>
      </c>
    </row>
    <row r="34" spans="1:6" x14ac:dyDescent="0.2">
      <c r="A34" t="s">
        <v>9</v>
      </c>
      <c r="B34" s="1">
        <f t="shared" si="1"/>
        <v>7.3999999999999996E-2</v>
      </c>
      <c r="C34">
        <f>-throat_inj_wall_end</f>
        <v>-2.5146791268690943E-2</v>
      </c>
      <c r="D34">
        <f>-radius_injector</f>
        <v>-1E-3</v>
      </c>
      <c r="E34" t="s">
        <v>10</v>
      </c>
      <c r="F34" s="1" t="s">
        <v>47</v>
      </c>
    </row>
    <row r="35" spans="1:6" x14ac:dyDescent="0.2">
      <c r="A35" t="s">
        <v>9</v>
      </c>
      <c r="B35" s="1">
        <f t="shared" si="1"/>
        <v>7.3999999999999996E-2</v>
      </c>
      <c r="C35">
        <f>throat_support_wall_end</f>
        <v>1.7795520659861445E-2</v>
      </c>
      <c r="D35">
        <f>-throat_support_wall_end</f>
        <v>-1.7795520659861445E-2</v>
      </c>
      <c r="E35" t="s">
        <v>10</v>
      </c>
      <c r="F35" s="1" t="s">
        <v>48</v>
      </c>
    </row>
    <row r="36" spans="1:6" x14ac:dyDescent="0.2">
      <c r="A36" t="s">
        <v>9</v>
      </c>
      <c r="B36" s="1">
        <f t="shared" si="1"/>
        <v>7.3999999999999996E-2</v>
      </c>
      <c r="C36">
        <f>-throat_support_wall_end</f>
        <v>-1.7795520659861445E-2</v>
      </c>
      <c r="D36">
        <f>-throat_support_wall_end</f>
        <v>-1.7795520659861445E-2</v>
      </c>
      <c r="E36" t="s">
        <v>10</v>
      </c>
      <c r="F36" s="1" t="s">
        <v>49</v>
      </c>
    </row>
    <row r="37" spans="1:6" x14ac:dyDescent="0.2">
      <c r="A37" t="s">
        <v>9</v>
      </c>
      <c r="B37" s="1">
        <f t="shared" si="1"/>
        <v>7.3999999999999996E-2</v>
      </c>
      <c r="C37">
        <f>sqr_frac_inj_end</f>
        <v>1.2583333333333334E-2</v>
      </c>
      <c r="D37">
        <f>-sqr_frac_inj_end</f>
        <v>-1.2583333333333334E-2</v>
      </c>
      <c r="E37" t="s">
        <v>10</v>
      </c>
      <c r="F37" s="1" t="s">
        <v>50</v>
      </c>
    </row>
    <row r="38" spans="1:6" x14ac:dyDescent="0.2">
      <c r="A38" t="s">
        <v>9</v>
      </c>
      <c r="B38" s="1">
        <f t="shared" si="1"/>
        <v>7.3999999999999996E-2</v>
      </c>
      <c r="C38">
        <f>-sqr_frac_inj_end</f>
        <v>-1.2583333333333334E-2</v>
      </c>
      <c r="D38">
        <f>-sqr_frac_inj_end</f>
        <v>-1.2583333333333334E-2</v>
      </c>
      <c r="E38" t="s">
        <v>10</v>
      </c>
      <c r="F38" s="1" t="s">
        <v>51</v>
      </c>
    </row>
    <row r="39" spans="1:6" x14ac:dyDescent="0.2">
      <c r="A39" t="s">
        <v>9</v>
      </c>
      <c r="B39" s="2">
        <f t="shared" ref="B39:B50" si="2">pos_noz_end</f>
        <v>0.09</v>
      </c>
      <c r="C39">
        <f>radius_noz_end</f>
        <v>2.8000000000000001E-2</v>
      </c>
      <c r="D39">
        <v>0</v>
      </c>
      <c r="E39" t="s">
        <v>10</v>
      </c>
      <c r="F39" s="1" t="s">
        <v>52</v>
      </c>
    </row>
    <row r="40" spans="1:6" x14ac:dyDescent="0.2">
      <c r="A40" t="s">
        <v>9</v>
      </c>
      <c r="B40" s="2">
        <f t="shared" si="2"/>
        <v>0.09</v>
      </c>
      <c r="C40">
        <f>sqr_frac_noz_end</f>
        <v>1.4E-2</v>
      </c>
      <c r="D40">
        <v>0</v>
      </c>
      <c r="E40" t="s">
        <v>10</v>
      </c>
      <c r="F40" s="1" t="s">
        <v>53</v>
      </c>
    </row>
    <row r="41" spans="1:6" x14ac:dyDescent="0.2">
      <c r="A41" t="s">
        <v>9</v>
      </c>
      <c r="B41" s="2">
        <f t="shared" si="2"/>
        <v>0.09</v>
      </c>
      <c r="C41">
        <f>-sqr_frac_noz_end</f>
        <v>-1.4E-2</v>
      </c>
      <c r="D41">
        <v>0</v>
      </c>
      <c r="E41" t="s">
        <v>10</v>
      </c>
      <c r="F41" s="1" t="s">
        <v>54</v>
      </c>
    </row>
    <row r="42" spans="1:6" x14ac:dyDescent="0.2">
      <c r="A42" t="s">
        <v>9</v>
      </c>
      <c r="B42" s="2">
        <f t="shared" si="2"/>
        <v>0.09</v>
      </c>
      <c r="C42">
        <f>-radius_noz_end</f>
        <v>-2.8000000000000001E-2</v>
      </c>
      <c r="D42">
        <v>0</v>
      </c>
      <c r="E42" t="s">
        <v>10</v>
      </c>
      <c r="F42" s="1" t="s">
        <v>64</v>
      </c>
    </row>
    <row r="43" spans="1:6" x14ac:dyDescent="0.2">
      <c r="A43" t="s">
        <v>9</v>
      </c>
      <c r="B43" s="2">
        <f t="shared" si="2"/>
        <v>0.09</v>
      </c>
      <c r="C43">
        <f>noz_inj_end</f>
        <v>2.7977591032824826E-2</v>
      </c>
      <c r="D43">
        <f>-SQRT(radius_noz_end^2-Vertices!C43^2)</f>
        <v>-1.1199999999999695E-3</v>
      </c>
      <c r="E43" t="s">
        <v>10</v>
      </c>
      <c r="F43" s="1" t="s">
        <v>65</v>
      </c>
    </row>
    <row r="44" spans="1:6" x14ac:dyDescent="0.2">
      <c r="A44" t="s">
        <v>9</v>
      </c>
      <c r="B44" s="2">
        <f t="shared" si="2"/>
        <v>0.09</v>
      </c>
      <c r="C44">
        <f>sqr_frac_noz_end</f>
        <v>1.4E-2</v>
      </c>
      <c r="D44">
        <f>-SQRT(radius_noz_end^2-Vertices!C43^2)</f>
        <v>-1.1199999999999695E-3</v>
      </c>
      <c r="E44" t="s">
        <v>10</v>
      </c>
      <c r="F44" s="1" t="s">
        <v>66</v>
      </c>
    </row>
    <row r="45" spans="1:6" x14ac:dyDescent="0.2">
      <c r="A45" t="s">
        <v>9</v>
      </c>
      <c r="B45" s="2">
        <f t="shared" si="2"/>
        <v>0.09</v>
      </c>
      <c r="C45">
        <f>-sqr_frac_noz_end</f>
        <v>-1.4E-2</v>
      </c>
      <c r="D45">
        <f>-SQRT(radius_noz_end^2-Vertices!C43^2)</f>
        <v>-1.1199999999999695E-3</v>
      </c>
      <c r="E45" t="s">
        <v>10</v>
      </c>
      <c r="F45" s="1" t="s">
        <v>67</v>
      </c>
    </row>
    <row r="46" spans="1:6" x14ac:dyDescent="0.2">
      <c r="A46" t="s">
        <v>9</v>
      </c>
      <c r="B46" s="2">
        <f t="shared" si="2"/>
        <v>0.09</v>
      </c>
      <c r="C46">
        <f>-noz_inj_end</f>
        <v>-2.7977591032824826E-2</v>
      </c>
      <c r="D46">
        <f>-SQRT(radius_noz_end^2-Vertices!C43^2)</f>
        <v>-1.1199999999999695E-3</v>
      </c>
      <c r="E46" t="s">
        <v>10</v>
      </c>
      <c r="F46" s="1" t="s">
        <v>68</v>
      </c>
    </row>
    <row r="47" spans="1:6" x14ac:dyDescent="0.2">
      <c r="A47" t="s">
        <v>9</v>
      </c>
      <c r="B47" s="2">
        <f t="shared" si="2"/>
        <v>0.09</v>
      </c>
      <c r="C47">
        <f>sqr_frac_noz_end</f>
        <v>1.4E-2</v>
      </c>
      <c r="D47">
        <f>-sqr_frac_noz_end</f>
        <v>-1.4E-2</v>
      </c>
      <c r="E47" t="s">
        <v>10</v>
      </c>
      <c r="F47" s="1" t="s">
        <v>69</v>
      </c>
    </row>
    <row r="48" spans="1:6" x14ac:dyDescent="0.2">
      <c r="A48" t="s">
        <v>9</v>
      </c>
      <c r="B48" s="2">
        <f t="shared" si="2"/>
        <v>0.09</v>
      </c>
      <c r="C48">
        <f>-sqr_frac_noz_end</f>
        <v>-1.4E-2</v>
      </c>
      <c r="D48">
        <f>-sqr_frac_noz_end</f>
        <v>-1.4E-2</v>
      </c>
      <c r="E48" t="s">
        <v>10</v>
      </c>
      <c r="F48" s="1" t="s">
        <v>70</v>
      </c>
    </row>
    <row r="49" spans="1:6" x14ac:dyDescent="0.2">
      <c r="A49" t="s">
        <v>9</v>
      </c>
      <c r="B49" s="2">
        <f t="shared" si="2"/>
        <v>0.09</v>
      </c>
      <c r="C49">
        <f>support_wall_noz_end</f>
        <v>1.9798989873223333E-2</v>
      </c>
      <c r="D49">
        <f>-support_wall_noz_end</f>
        <v>-1.9798989873223333E-2</v>
      </c>
      <c r="E49" t="s">
        <v>10</v>
      </c>
      <c r="F49" s="1" t="s">
        <v>71</v>
      </c>
    </row>
    <row r="50" spans="1:6" x14ac:dyDescent="0.2">
      <c r="A50" t="s">
        <v>9</v>
      </c>
      <c r="B50" s="2">
        <f t="shared" si="2"/>
        <v>0.09</v>
      </c>
      <c r="C50">
        <f>-support_wall_noz_end</f>
        <v>-1.9798989873223333E-2</v>
      </c>
      <c r="D50">
        <f>-support_wall_noz_end</f>
        <v>-1.9798989873223333E-2</v>
      </c>
      <c r="E50" t="s">
        <v>10</v>
      </c>
      <c r="F50" s="1" t="s">
        <v>72</v>
      </c>
    </row>
    <row r="51" spans="1:6" x14ac:dyDescent="0.2">
      <c r="A51" t="s">
        <v>9</v>
      </c>
      <c r="B51" s="4">
        <f t="shared" ref="B51:B62" si="3">pos_outlet</f>
        <v>2.25</v>
      </c>
      <c r="C51" s="4">
        <f>radius_outlet</f>
        <v>0.52</v>
      </c>
      <c r="D51" s="4">
        <v>0</v>
      </c>
      <c r="E51" s="4" t="s">
        <v>10</v>
      </c>
      <c r="F51" s="4" t="s">
        <v>73</v>
      </c>
    </row>
    <row r="52" spans="1:6" x14ac:dyDescent="0.2">
      <c r="A52" t="s">
        <v>9</v>
      </c>
      <c r="B52" s="4">
        <f t="shared" si="3"/>
        <v>2.25</v>
      </c>
      <c r="C52" s="4">
        <f>sqr_frac_outlet</f>
        <v>0.26</v>
      </c>
      <c r="D52" s="4">
        <v>0</v>
      </c>
      <c r="E52" s="4" t="s">
        <v>10</v>
      </c>
      <c r="F52" s="4" t="s">
        <v>74</v>
      </c>
    </row>
    <row r="53" spans="1:6" x14ac:dyDescent="0.2">
      <c r="A53" t="s">
        <v>9</v>
      </c>
      <c r="B53" s="4">
        <f t="shared" si="3"/>
        <v>2.25</v>
      </c>
      <c r="C53" s="4">
        <f>-sqr_frac_outlet</f>
        <v>-0.26</v>
      </c>
      <c r="D53" s="4">
        <v>0</v>
      </c>
      <c r="E53" s="4" t="s">
        <v>10</v>
      </c>
      <c r="F53" s="4" t="s">
        <v>75</v>
      </c>
    </row>
    <row r="54" spans="1:6" x14ac:dyDescent="0.2">
      <c r="A54" t="s">
        <v>9</v>
      </c>
      <c r="B54" s="4">
        <f t="shared" si="3"/>
        <v>2.25</v>
      </c>
      <c r="C54" s="4">
        <f>-radius_outlet</f>
        <v>-0.52</v>
      </c>
      <c r="D54" s="4">
        <v>0</v>
      </c>
      <c r="E54" s="4" t="s">
        <v>10</v>
      </c>
      <c r="F54" s="4" t="s">
        <v>76</v>
      </c>
    </row>
    <row r="55" spans="1:6" x14ac:dyDescent="0.2">
      <c r="A55" t="s">
        <v>9</v>
      </c>
      <c r="B55" s="4">
        <f t="shared" si="3"/>
        <v>2.25</v>
      </c>
      <c r="C55" s="4">
        <f>outlet_inj</f>
        <v>0.51958932952526993</v>
      </c>
      <c r="D55" s="4">
        <f>-SQRT(radius_outlet^2-$C$55^2)</f>
        <v>-2.0662251655627569E-2</v>
      </c>
      <c r="E55" s="4" t="s">
        <v>10</v>
      </c>
      <c r="F55" s="4" t="s">
        <v>77</v>
      </c>
    </row>
    <row r="56" spans="1:6" x14ac:dyDescent="0.2">
      <c r="A56" t="s">
        <v>9</v>
      </c>
      <c r="B56" s="4">
        <f t="shared" si="3"/>
        <v>2.25</v>
      </c>
      <c r="C56" s="4">
        <f>sqr_frac_outlet</f>
        <v>0.26</v>
      </c>
      <c r="D56" s="4">
        <f>-SQRT(radius_outlet^2-$C$55^2)</f>
        <v>-2.0662251655627569E-2</v>
      </c>
      <c r="E56" s="4" t="s">
        <v>10</v>
      </c>
      <c r="F56" s="4" t="s">
        <v>86</v>
      </c>
    </row>
    <row r="57" spans="1:6" x14ac:dyDescent="0.2">
      <c r="A57" t="s">
        <v>9</v>
      </c>
      <c r="B57" s="4">
        <f t="shared" si="3"/>
        <v>2.25</v>
      </c>
      <c r="C57" s="4">
        <f>-sqr_frac_outlet</f>
        <v>-0.26</v>
      </c>
      <c r="D57" s="4">
        <f>-SQRT(radius_outlet^2-$C$55^2)</f>
        <v>-2.0662251655627569E-2</v>
      </c>
      <c r="E57" s="4" t="s">
        <v>10</v>
      </c>
      <c r="F57" s="4" t="s">
        <v>87</v>
      </c>
    </row>
    <row r="58" spans="1:6" x14ac:dyDescent="0.2">
      <c r="A58" t="s">
        <v>9</v>
      </c>
      <c r="B58" s="4">
        <f t="shared" si="3"/>
        <v>2.25</v>
      </c>
      <c r="C58" s="4">
        <f>-outlet_inj</f>
        <v>-0.51958932952526993</v>
      </c>
      <c r="D58" s="4">
        <f>-SQRT(radius_outlet^2-$C$55^2)</f>
        <v>-2.0662251655627569E-2</v>
      </c>
      <c r="E58" s="4" t="s">
        <v>10</v>
      </c>
      <c r="F58" s="4" t="s">
        <v>88</v>
      </c>
    </row>
    <row r="59" spans="1:6" x14ac:dyDescent="0.2">
      <c r="A59" t="s">
        <v>9</v>
      </c>
      <c r="B59" s="4">
        <f t="shared" si="3"/>
        <v>2.25</v>
      </c>
      <c r="C59" s="4">
        <f>sqr_frac_outlet</f>
        <v>0.26</v>
      </c>
      <c r="D59" s="4">
        <f>-sqr_frac_outlet</f>
        <v>-0.26</v>
      </c>
      <c r="E59" s="4" t="s">
        <v>10</v>
      </c>
      <c r="F59" s="4" t="s">
        <v>89</v>
      </c>
    </row>
    <row r="60" spans="1:6" x14ac:dyDescent="0.2">
      <c r="A60" t="s">
        <v>9</v>
      </c>
      <c r="B60" s="4">
        <f t="shared" si="3"/>
        <v>2.25</v>
      </c>
      <c r="C60" s="4">
        <f>-sqr_frac_outlet</f>
        <v>-0.26</v>
      </c>
      <c r="D60" s="4">
        <f>-sqr_frac_outlet</f>
        <v>-0.26</v>
      </c>
      <c r="E60" s="4" t="s">
        <v>10</v>
      </c>
      <c r="F60" s="4" t="s">
        <v>90</v>
      </c>
    </row>
    <row r="61" spans="1:6" x14ac:dyDescent="0.2">
      <c r="A61" t="s">
        <v>9</v>
      </c>
      <c r="B61" s="4">
        <f t="shared" si="3"/>
        <v>2.25</v>
      </c>
      <c r="C61" s="4">
        <f>support_wall_outlet</f>
        <v>0.36769552621700474</v>
      </c>
      <c r="D61" s="4">
        <f>-support_wall_outlet</f>
        <v>-0.36769552621700474</v>
      </c>
      <c r="E61" s="4" t="s">
        <v>10</v>
      </c>
      <c r="F61" s="4" t="s">
        <v>91</v>
      </c>
    </row>
    <row r="62" spans="1:6" x14ac:dyDescent="0.2">
      <c r="A62" t="s">
        <v>9</v>
      </c>
      <c r="B62" s="4">
        <f t="shared" si="3"/>
        <v>2.25</v>
      </c>
      <c r="C62" s="4">
        <f>-support_wall_outlet</f>
        <v>-0.36769552621700474</v>
      </c>
      <c r="D62" s="4">
        <f>-support_wall_outlet</f>
        <v>-0.36769552621700474</v>
      </c>
      <c r="E62" s="4" t="s">
        <v>10</v>
      </c>
      <c r="F62" s="4" t="s">
        <v>92</v>
      </c>
    </row>
    <row r="63" spans="1:6" x14ac:dyDescent="0.2">
      <c r="A63" t="s">
        <v>9</v>
      </c>
      <c r="B63" s="4">
        <f>pos_inj</f>
        <v>7.1999999999999995E-2</v>
      </c>
      <c r="C63" s="4">
        <f>inj_height</f>
        <v>2.5500000000000002E-2</v>
      </c>
      <c r="D63" s="4">
        <v>0</v>
      </c>
      <c r="E63" s="4" t="s">
        <v>10</v>
      </c>
      <c r="F63" s="4" t="s">
        <v>93</v>
      </c>
    </row>
    <row r="64" spans="1:6" x14ac:dyDescent="0.2">
      <c r="A64" t="s">
        <v>9</v>
      </c>
      <c r="B64" s="4">
        <f>pos_inj_back</f>
        <v>7.3999999999999996E-2</v>
      </c>
      <c r="C64">
        <f>inj_height</f>
        <v>2.5500000000000002E-2</v>
      </c>
      <c r="D64">
        <v>0</v>
      </c>
      <c r="E64" s="4" t="s">
        <v>10</v>
      </c>
      <c r="F64" s="4" t="s">
        <v>94</v>
      </c>
    </row>
    <row r="65" spans="1:6" x14ac:dyDescent="0.2">
      <c r="A65" t="s">
        <v>9</v>
      </c>
      <c r="B65" s="4">
        <f>pos_inj</f>
        <v>7.1999999999999995E-2</v>
      </c>
      <c r="C65" s="4">
        <f>inj_height</f>
        <v>2.5500000000000002E-2</v>
      </c>
      <c r="D65" s="4">
        <f>-radius_injector</f>
        <v>-1E-3</v>
      </c>
      <c r="E65" s="4" t="s">
        <v>10</v>
      </c>
      <c r="F65" s="4" t="s">
        <v>95</v>
      </c>
    </row>
    <row r="66" spans="1:6" x14ac:dyDescent="0.2">
      <c r="A66" t="s">
        <v>9</v>
      </c>
      <c r="B66" s="4">
        <f>pos_inj_back</f>
        <v>7.3999999999999996E-2</v>
      </c>
      <c r="C66">
        <f>inj_height</f>
        <v>2.5500000000000002E-2</v>
      </c>
      <c r="D66" s="4">
        <f>-radius_injector</f>
        <v>-1E-3</v>
      </c>
      <c r="E66" s="4" t="s">
        <v>10</v>
      </c>
      <c r="F66" s="4" t="s">
        <v>96</v>
      </c>
    </row>
    <row r="67" spans="1:6" x14ac:dyDescent="0.2">
      <c r="A67" t="s">
        <v>9</v>
      </c>
      <c r="B67">
        <f t="shared" ref="B67:B78" si="4">position_inlet</f>
        <v>-2.25</v>
      </c>
      <c r="C67" s="4">
        <f>radius_inlet</f>
        <v>0.52</v>
      </c>
      <c r="D67">
        <v>0</v>
      </c>
      <c r="E67" s="4" t="s">
        <v>10</v>
      </c>
      <c r="F67" s="4" t="s">
        <v>97</v>
      </c>
    </row>
    <row r="68" spans="1:6" x14ac:dyDescent="0.2">
      <c r="A68" t="s">
        <v>9</v>
      </c>
      <c r="B68">
        <f t="shared" si="4"/>
        <v>-2.25</v>
      </c>
      <c r="C68">
        <f>sqr_frac_inlet</f>
        <v>0.26</v>
      </c>
      <c r="D68" s="4">
        <v>0</v>
      </c>
      <c r="E68" s="4" t="s">
        <v>10</v>
      </c>
      <c r="F68" s="4" t="s">
        <v>98</v>
      </c>
    </row>
    <row r="69" spans="1:6" x14ac:dyDescent="0.2">
      <c r="A69" t="s">
        <v>9</v>
      </c>
      <c r="B69">
        <f t="shared" si="4"/>
        <v>-2.25</v>
      </c>
      <c r="C69">
        <f>-sqr_frac_inlet</f>
        <v>-0.26</v>
      </c>
      <c r="D69" s="4">
        <v>0</v>
      </c>
      <c r="E69" s="4" t="s">
        <v>10</v>
      </c>
      <c r="F69" s="4" t="s">
        <v>99</v>
      </c>
    </row>
    <row r="70" spans="1:6" x14ac:dyDescent="0.2">
      <c r="A70" t="s">
        <v>9</v>
      </c>
      <c r="B70">
        <f t="shared" si="4"/>
        <v>-2.25</v>
      </c>
      <c r="C70">
        <f>-radius_inlet</f>
        <v>-0.52</v>
      </c>
      <c r="D70" s="4">
        <v>0</v>
      </c>
      <c r="E70" s="4" t="s">
        <v>10</v>
      </c>
      <c r="F70" s="4" t="s">
        <v>100</v>
      </c>
    </row>
    <row r="71" spans="1:6" x14ac:dyDescent="0.2">
      <c r="A71" t="s">
        <v>9</v>
      </c>
      <c r="B71">
        <f t="shared" si="4"/>
        <v>-2.25</v>
      </c>
      <c r="C71">
        <f>inlet_inj</f>
        <v>0.51958932952526993</v>
      </c>
      <c r="D71">
        <f>-SQRT(radius_inlet^2-Vertices!$C$71^2)</f>
        <v>-2.0662251655627569E-2</v>
      </c>
      <c r="E71" s="4" t="s">
        <v>10</v>
      </c>
      <c r="F71" s="4" t="s">
        <v>101</v>
      </c>
    </row>
    <row r="72" spans="1:6" x14ac:dyDescent="0.2">
      <c r="A72" t="s">
        <v>9</v>
      </c>
      <c r="B72">
        <f t="shared" si="4"/>
        <v>-2.25</v>
      </c>
      <c r="C72">
        <f>sqr_frac_inlet</f>
        <v>0.26</v>
      </c>
      <c r="D72">
        <f>-SQRT(radius_inlet^2-Vertices!$C$71^2)</f>
        <v>-2.0662251655627569E-2</v>
      </c>
      <c r="E72" s="4" t="s">
        <v>10</v>
      </c>
      <c r="F72" s="4" t="s">
        <v>111</v>
      </c>
    </row>
    <row r="73" spans="1:6" x14ac:dyDescent="0.2">
      <c r="A73" t="s">
        <v>9</v>
      </c>
      <c r="B73">
        <f t="shared" si="4"/>
        <v>-2.25</v>
      </c>
      <c r="C73">
        <f>-sqr_frac_inlet</f>
        <v>-0.26</v>
      </c>
      <c r="D73">
        <f>-SQRT(radius_inlet^2-Vertices!$C$71^2)</f>
        <v>-2.0662251655627569E-2</v>
      </c>
      <c r="E73" s="4" t="s">
        <v>10</v>
      </c>
      <c r="F73" s="4" t="s">
        <v>112</v>
      </c>
    </row>
    <row r="74" spans="1:6" x14ac:dyDescent="0.2">
      <c r="A74" t="s">
        <v>9</v>
      </c>
      <c r="B74">
        <f t="shared" si="4"/>
        <v>-2.25</v>
      </c>
      <c r="C74">
        <f>-inlet_inj</f>
        <v>-0.51958932952526993</v>
      </c>
      <c r="D74">
        <f>-SQRT(radius_inlet^2-Vertices!$C$71^2)</f>
        <v>-2.0662251655627569E-2</v>
      </c>
      <c r="E74" s="4" t="s">
        <v>10</v>
      </c>
      <c r="F74" s="4" t="s">
        <v>113</v>
      </c>
    </row>
    <row r="75" spans="1:6" x14ac:dyDescent="0.2">
      <c r="A75" t="s">
        <v>9</v>
      </c>
      <c r="B75">
        <f t="shared" si="4"/>
        <v>-2.25</v>
      </c>
      <c r="C75">
        <f>sqr_frac_inlet</f>
        <v>0.26</v>
      </c>
      <c r="D75" s="4">
        <f>-sqr_frac_inlet</f>
        <v>-0.26</v>
      </c>
      <c r="E75" s="4" t="s">
        <v>10</v>
      </c>
      <c r="F75" s="4" t="s">
        <v>114</v>
      </c>
    </row>
    <row r="76" spans="1:6" x14ac:dyDescent="0.2">
      <c r="A76" t="s">
        <v>9</v>
      </c>
      <c r="B76">
        <f t="shared" si="4"/>
        <v>-2.25</v>
      </c>
      <c r="C76">
        <f>-sqr_frac_inlet</f>
        <v>-0.26</v>
      </c>
      <c r="D76" s="4">
        <f>-sqr_frac_inlet</f>
        <v>-0.26</v>
      </c>
      <c r="E76" s="4" t="s">
        <v>10</v>
      </c>
      <c r="F76" s="4" t="s">
        <v>115</v>
      </c>
    </row>
    <row r="77" spans="1:6" x14ac:dyDescent="0.2">
      <c r="A77" t="s">
        <v>9</v>
      </c>
      <c r="B77">
        <f t="shared" si="4"/>
        <v>-2.25</v>
      </c>
      <c r="C77">
        <f>support_wall_inlet</f>
        <v>0.36769552621700474</v>
      </c>
      <c r="D77">
        <f>-support_wall_inlet</f>
        <v>-0.36769552621700474</v>
      </c>
      <c r="E77" s="4" t="s">
        <v>10</v>
      </c>
      <c r="F77" s="4" t="s">
        <v>116</v>
      </c>
    </row>
    <row r="78" spans="1:6" x14ac:dyDescent="0.2">
      <c r="A78" t="s">
        <v>9</v>
      </c>
      <c r="B78">
        <f t="shared" si="4"/>
        <v>-2.25</v>
      </c>
      <c r="C78">
        <f>-support_wall_inlet</f>
        <v>-0.36769552621700474</v>
      </c>
      <c r="D78">
        <f>-support_wall_inlet</f>
        <v>-0.36769552621700474</v>
      </c>
      <c r="E78" s="4" t="s">
        <v>10</v>
      </c>
      <c r="F78" s="4" t="s">
        <v>117</v>
      </c>
    </row>
    <row r="79" spans="1:6" x14ac:dyDescent="0.2">
      <c r="A79" t="s">
        <v>9</v>
      </c>
      <c r="B79">
        <f t="shared" ref="B79:B90" si="5">pos_inj_back+radius_injector</f>
        <v>7.4999999999999997E-2</v>
      </c>
      <c r="C79">
        <f>radius_outlet</f>
        <v>0.52</v>
      </c>
      <c r="D79">
        <v>0</v>
      </c>
      <c r="E79" s="4" t="s">
        <v>10</v>
      </c>
      <c r="F79" s="4" t="s">
        <v>228</v>
      </c>
    </row>
    <row r="80" spans="1:6" x14ac:dyDescent="0.2">
      <c r="A80" t="s">
        <v>9</v>
      </c>
      <c r="B80">
        <f t="shared" si="5"/>
        <v>7.4999999999999997E-2</v>
      </c>
      <c r="C80">
        <f>C39</f>
        <v>2.8000000000000001E-2</v>
      </c>
      <c r="D80">
        <v>0</v>
      </c>
      <c r="E80" s="4" t="s">
        <v>10</v>
      </c>
      <c r="F80" s="4" t="s">
        <v>229</v>
      </c>
    </row>
    <row r="81" spans="1:6" x14ac:dyDescent="0.2">
      <c r="A81" t="s">
        <v>9</v>
      </c>
      <c r="B81">
        <f t="shared" si="5"/>
        <v>7.4999999999999997E-2</v>
      </c>
      <c r="C81">
        <f>C42</f>
        <v>-2.8000000000000001E-2</v>
      </c>
      <c r="D81">
        <v>0</v>
      </c>
      <c r="E81" s="4" t="s">
        <v>10</v>
      </c>
      <c r="F81" s="4" t="s">
        <v>230</v>
      </c>
    </row>
    <row r="82" spans="1:6" x14ac:dyDescent="0.2">
      <c r="A82" t="s">
        <v>9</v>
      </c>
      <c r="B82">
        <f t="shared" si="5"/>
        <v>7.4999999999999997E-2</v>
      </c>
      <c r="C82">
        <f>-radius_outlet</f>
        <v>-0.52</v>
      </c>
      <c r="D82">
        <v>0</v>
      </c>
      <c r="E82" s="4" t="s">
        <v>10</v>
      </c>
      <c r="F82" s="4" t="s">
        <v>231</v>
      </c>
    </row>
    <row r="83" spans="1:6" x14ac:dyDescent="0.2">
      <c r="A83" t="s">
        <v>9</v>
      </c>
      <c r="B83">
        <f t="shared" si="5"/>
        <v>7.4999999999999997E-2</v>
      </c>
      <c r="C83">
        <f>outlet_inj</f>
        <v>0.51958932952526993</v>
      </c>
      <c r="D83">
        <f>-SQRT(radius_inlet^2-C83^2)</f>
        <v>-2.0662251655627569E-2</v>
      </c>
      <c r="E83" s="4" t="s">
        <v>10</v>
      </c>
      <c r="F83" s="4" t="s">
        <v>232</v>
      </c>
    </row>
    <row r="84" spans="1:6" x14ac:dyDescent="0.2">
      <c r="A84" t="s">
        <v>9</v>
      </c>
      <c r="B84">
        <f t="shared" si="5"/>
        <v>7.4999999999999997E-2</v>
      </c>
      <c r="C84">
        <f>C43</f>
        <v>2.7977591032824826E-2</v>
      </c>
      <c r="D84">
        <f>D43</f>
        <v>-1.1199999999999695E-3</v>
      </c>
      <c r="E84" s="4" t="s">
        <v>10</v>
      </c>
      <c r="F84" s="4" t="s">
        <v>233</v>
      </c>
    </row>
    <row r="85" spans="1:6" x14ac:dyDescent="0.2">
      <c r="A85" t="s">
        <v>9</v>
      </c>
      <c r="B85">
        <f t="shared" si="5"/>
        <v>7.4999999999999997E-2</v>
      </c>
      <c r="C85">
        <f>C46</f>
        <v>-2.7977591032824826E-2</v>
      </c>
      <c r="D85">
        <f>D46</f>
        <v>-1.1199999999999695E-3</v>
      </c>
      <c r="E85" s="4" t="s">
        <v>10</v>
      </c>
      <c r="F85" s="4" t="s">
        <v>234</v>
      </c>
    </row>
    <row r="86" spans="1:6" x14ac:dyDescent="0.2">
      <c r="A86" t="s">
        <v>9</v>
      </c>
      <c r="B86">
        <f t="shared" si="5"/>
        <v>7.4999999999999997E-2</v>
      </c>
      <c r="C86">
        <f>-outlet_inj</f>
        <v>-0.51958932952526993</v>
      </c>
      <c r="D86">
        <f>-SQRT(radius_inlet^2-C86^2)</f>
        <v>-2.0662251655627569E-2</v>
      </c>
      <c r="E86" s="4" t="s">
        <v>10</v>
      </c>
      <c r="F86" s="4" t="s">
        <v>235</v>
      </c>
    </row>
    <row r="87" spans="1:6" x14ac:dyDescent="0.2">
      <c r="A87" t="s">
        <v>9</v>
      </c>
      <c r="B87">
        <f t="shared" si="5"/>
        <v>7.4999999999999997E-2</v>
      </c>
      <c r="C87">
        <f>support_wall_noz_end</f>
        <v>1.9798989873223333E-2</v>
      </c>
      <c r="D87">
        <f>-support_wall_noz_end</f>
        <v>-1.9798989873223333E-2</v>
      </c>
      <c r="E87" s="4" t="s">
        <v>10</v>
      </c>
      <c r="F87" s="4" t="s">
        <v>236</v>
      </c>
    </row>
    <row r="88" spans="1:6" x14ac:dyDescent="0.2">
      <c r="A88" t="s">
        <v>9</v>
      </c>
      <c r="B88">
        <f t="shared" si="5"/>
        <v>7.4999999999999997E-2</v>
      </c>
      <c r="C88">
        <f>-support_wall_noz_end</f>
        <v>-1.9798989873223333E-2</v>
      </c>
      <c r="D88">
        <f>-support_wall_noz_end</f>
        <v>-1.9798989873223333E-2</v>
      </c>
      <c r="E88" s="4" t="s">
        <v>10</v>
      </c>
      <c r="F88" s="4" t="s">
        <v>237</v>
      </c>
    </row>
    <row r="89" spans="1:6" x14ac:dyDescent="0.2">
      <c r="A89" t="s">
        <v>9</v>
      </c>
      <c r="B89">
        <f t="shared" si="5"/>
        <v>7.4999999999999997E-2</v>
      </c>
      <c r="C89">
        <f>support_wall_outer</f>
        <v>0.36769552621700474</v>
      </c>
      <c r="D89">
        <f>-support_wall_outer</f>
        <v>-0.36769552621700474</v>
      </c>
      <c r="E89" s="4" t="s">
        <v>10</v>
      </c>
      <c r="F89" s="4" t="s">
        <v>238</v>
      </c>
    </row>
    <row r="90" spans="1:6" x14ac:dyDescent="0.2">
      <c r="A90" t="s">
        <v>9</v>
      </c>
      <c r="B90">
        <f t="shared" si="5"/>
        <v>7.4999999999999997E-2</v>
      </c>
      <c r="C90">
        <f>-support_wall_outer</f>
        <v>-0.36769552621700474</v>
      </c>
      <c r="D90">
        <f>-support_wall_outer</f>
        <v>-0.36769552621700474</v>
      </c>
      <c r="E90" s="4" t="s">
        <v>10</v>
      </c>
      <c r="F90" s="4" t="s">
        <v>239</v>
      </c>
    </row>
    <row r="91" spans="1:6" x14ac:dyDescent="0.2">
      <c r="A91" t="s">
        <v>9</v>
      </c>
      <c r="B91">
        <f t="shared" ref="B91:B96" si="6">pos_noz_end</f>
        <v>0.09</v>
      </c>
      <c r="C91">
        <f>radius_outlet</f>
        <v>0.52</v>
      </c>
      <c r="D91">
        <v>0</v>
      </c>
      <c r="E91" s="4" t="s">
        <v>10</v>
      </c>
      <c r="F91" s="4" t="s">
        <v>240</v>
      </c>
    </row>
    <row r="92" spans="1:6" x14ac:dyDescent="0.2">
      <c r="A92" t="s">
        <v>9</v>
      </c>
      <c r="B92">
        <f t="shared" si="6"/>
        <v>0.09</v>
      </c>
      <c r="C92">
        <f>-radius_outlet</f>
        <v>-0.52</v>
      </c>
      <c r="D92">
        <v>0</v>
      </c>
      <c r="E92" s="4" t="s">
        <v>10</v>
      </c>
      <c r="F92" s="4" t="s">
        <v>241</v>
      </c>
    </row>
    <row r="93" spans="1:6" x14ac:dyDescent="0.2">
      <c r="A93" t="s">
        <v>9</v>
      </c>
      <c r="B93">
        <f t="shared" si="6"/>
        <v>0.09</v>
      </c>
      <c r="C93">
        <f>outlet_inj</f>
        <v>0.51958932952526993</v>
      </c>
      <c r="D93">
        <f>-SQRT(radius_inlet^2-C93^2)</f>
        <v>-2.0662251655627569E-2</v>
      </c>
      <c r="E93" s="4" t="s">
        <v>10</v>
      </c>
      <c r="F93" s="4" t="s">
        <v>242</v>
      </c>
    </row>
    <row r="94" spans="1:6" x14ac:dyDescent="0.2">
      <c r="A94" t="s">
        <v>9</v>
      </c>
      <c r="B94">
        <f t="shared" si="6"/>
        <v>0.09</v>
      </c>
      <c r="C94">
        <f>-outlet_inj</f>
        <v>-0.51958932952526993</v>
      </c>
      <c r="D94">
        <f>-SQRT(radius_inlet^2-C94^2)</f>
        <v>-2.0662251655627569E-2</v>
      </c>
      <c r="E94" s="4" t="s">
        <v>10</v>
      </c>
      <c r="F94" s="4" t="s">
        <v>243</v>
      </c>
    </row>
    <row r="95" spans="1:6" x14ac:dyDescent="0.2">
      <c r="A95" t="s">
        <v>9</v>
      </c>
      <c r="B95">
        <f t="shared" si="6"/>
        <v>0.09</v>
      </c>
      <c r="C95">
        <f>support_wall_outer</f>
        <v>0.36769552621700474</v>
      </c>
      <c r="D95">
        <f>-support_wall_outer</f>
        <v>-0.36769552621700474</v>
      </c>
      <c r="E95" s="4" t="s">
        <v>10</v>
      </c>
      <c r="F95" s="4" t="s">
        <v>244</v>
      </c>
    </row>
    <row r="96" spans="1:6" x14ac:dyDescent="0.2">
      <c r="A96" t="s">
        <v>9</v>
      </c>
      <c r="B96">
        <f t="shared" si="6"/>
        <v>0.09</v>
      </c>
      <c r="C96">
        <f>-support_wall_outer</f>
        <v>-0.36769552621700474</v>
      </c>
      <c r="D96">
        <f>-support_wall_outer</f>
        <v>-0.36769552621700474</v>
      </c>
      <c r="E96" s="4" t="s">
        <v>10</v>
      </c>
      <c r="F96" s="4" t="s">
        <v>245</v>
      </c>
    </row>
    <row r="97" spans="1:6" x14ac:dyDescent="0.2">
      <c r="A97" t="s">
        <v>9</v>
      </c>
      <c r="B97">
        <f t="shared" ref="B97:B102" si="7">pos_outlet</f>
        <v>2.25</v>
      </c>
      <c r="C97">
        <f>radius_outlet</f>
        <v>0.52</v>
      </c>
      <c r="D97">
        <v>0</v>
      </c>
      <c r="E97" s="4" t="s">
        <v>10</v>
      </c>
      <c r="F97" s="4" t="s">
        <v>248</v>
      </c>
    </row>
    <row r="98" spans="1:6" x14ac:dyDescent="0.2">
      <c r="A98" t="s">
        <v>9</v>
      </c>
      <c r="B98">
        <f t="shared" si="7"/>
        <v>2.25</v>
      </c>
      <c r="C98">
        <f>-radius_outlet</f>
        <v>-0.52</v>
      </c>
      <c r="D98">
        <v>0</v>
      </c>
      <c r="E98" s="4" t="s">
        <v>10</v>
      </c>
      <c r="F98" s="4" t="s">
        <v>249</v>
      </c>
    </row>
    <row r="99" spans="1:6" x14ac:dyDescent="0.2">
      <c r="A99" t="s">
        <v>9</v>
      </c>
      <c r="B99">
        <f t="shared" si="7"/>
        <v>2.25</v>
      </c>
      <c r="C99">
        <f t="shared" ref="C99:D102" si="8">C93</f>
        <v>0.51958932952526993</v>
      </c>
      <c r="D99">
        <f t="shared" si="8"/>
        <v>-2.0662251655627569E-2</v>
      </c>
      <c r="E99" s="4" t="s">
        <v>10</v>
      </c>
      <c r="F99" s="4" t="s">
        <v>250</v>
      </c>
    </row>
    <row r="100" spans="1:6" x14ac:dyDescent="0.2">
      <c r="A100" t="s">
        <v>9</v>
      </c>
      <c r="B100">
        <f t="shared" si="7"/>
        <v>2.25</v>
      </c>
      <c r="C100">
        <f t="shared" si="8"/>
        <v>-0.51958932952526993</v>
      </c>
      <c r="D100">
        <f t="shared" si="8"/>
        <v>-2.0662251655627569E-2</v>
      </c>
      <c r="E100" s="4" t="s">
        <v>10</v>
      </c>
      <c r="F100" s="4" t="s">
        <v>251</v>
      </c>
    </row>
    <row r="101" spans="1:6" x14ac:dyDescent="0.2">
      <c r="A101" t="s">
        <v>9</v>
      </c>
      <c r="B101">
        <f t="shared" si="7"/>
        <v>2.25</v>
      </c>
      <c r="C101">
        <f t="shared" si="8"/>
        <v>0.36769552621700474</v>
      </c>
      <c r="D101">
        <f t="shared" si="8"/>
        <v>-0.36769552621700474</v>
      </c>
      <c r="E101" s="4" t="s">
        <v>10</v>
      </c>
      <c r="F101" s="4" t="s">
        <v>252</v>
      </c>
    </row>
    <row r="102" spans="1:6" x14ac:dyDescent="0.2">
      <c r="A102" t="s">
        <v>9</v>
      </c>
      <c r="B102">
        <f t="shared" si="7"/>
        <v>2.25</v>
      </c>
      <c r="C102">
        <f t="shared" si="8"/>
        <v>-0.36769552621700474</v>
      </c>
      <c r="D102">
        <f t="shared" si="8"/>
        <v>-0.36769552621700474</v>
      </c>
      <c r="E102" s="4" t="s">
        <v>10</v>
      </c>
      <c r="F102" s="4" t="s">
        <v>253</v>
      </c>
    </row>
    <row r="103" spans="1:6" x14ac:dyDescent="0.2">
      <c r="A103" t="s">
        <v>9</v>
      </c>
      <c r="F103" s="4"/>
    </row>
    <row r="104" spans="1:6" x14ac:dyDescent="0.2">
      <c r="A104" t="s">
        <v>9</v>
      </c>
    </row>
    <row r="105" spans="1:6" x14ac:dyDescent="0.2">
      <c r="A105" t="s">
        <v>9</v>
      </c>
    </row>
    <row r="106" spans="1:6" x14ac:dyDescent="0.2">
      <c r="A106" t="s">
        <v>9</v>
      </c>
    </row>
    <row r="107" spans="1:6" x14ac:dyDescent="0.2">
      <c r="A107" t="s">
        <v>9</v>
      </c>
    </row>
    <row r="108" spans="1:6" x14ac:dyDescent="0.2">
      <c r="A108" t="s">
        <v>9</v>
      </c>
    </row>
    <row r="109" spans="1:6" x14ac:dyDescent="0.2">
      <c r="A109" t="s">
        <v>9</v>
      </c>
    </row>
    <row r="110" spans="1:6" x14ac:dyDescent="0.2">
      <c r="A110" t="s">
        <v>9</v>
      </c>
    </row>
    <row r="111" spans="1:6" x14ac:dyDescent="0.2">
      <c r="A111" t="s">
        <v>9</v>
      </c>
    </row>
    <row r="112" spans="1:6" x14ac:dyDescent="0.2">
      <c r="A112" t="s">
        <v>9</v>
      </c>
    </row>
    <row r="113" spans="1:1" x14ac:dyDescent="0.2">
      <c r="A113" t="s">
        <v>9</v>
      </c>
    </row>
    <row r="114" spans="1:1" x14ac:dyDescent="0.2">
      <c r="A114" t="s">
        <v>9</v>
      </c>
    </row>
    <row r="115" spans="1:1" x14ac:dyDescent="0.2">
      <c r="A115" t="s">
        <v>9</v>
      </c>
    </row>
    <row r="116" spans="1:1" x14ac:dyDescent="0.2">
      <c r="A116" t="s">
        <v>9</v>
      </c>
    </row>
    <row r="117" spans="1:1" x14ac:dyDescent="0.2">
      <c r="A117" t="s">
        <v>9</v>
      </c>
    </row>
    <row r="118" spans="1:1" x14ac:dyDescent="0.2">
      <c r="A118" t="s">
        <v>9</v>
      </c>
    </row>
    <row r="119" spans="1:1" x14ac:dyDescent="0.2">
      <c r="A119" t="s">
        <v>9</v>
      </c>
    </row>
    <row r="120" spans="1:1" x14ac:dyDescent="0.2">
      <c r="A120" t="s">
        <v>9</v>
      </c>
    </row>
    <row r="121" spans="1:1" x14ac:dyDescent="0.2">
      <c r="A121" t="s">
        <v>9</v>
      </c>
    </row>
    <row r="122" spans="1:1" x14ac:dyDescent="0.2">
      <c r="A122" t="s">
        <v>9</v>
      </c>
    </row>
    <row r="123" spans="1:1" x14ac:dyDescent="0.2">
      <c r="A123" t="s">
        <v>9</v>
      </c>
    </row>
    <row r="124" spans="1:1" x14ac:dyDescent="0.2">
      <c r="A124" t="s">
        <v>9</v>
      </c>
    </row>
    <row r="125" spans="1:1" x14ac:dyDescent="0.2">
      <c r="A125" t="s">
        <v>9</v>
      </c>
    </row>
    <row r="126" spans="1:1" x14ac:dyDescent="0.2">
      <c r="A126" t="s">
        <v>9</v>
      </c>
    </row>
    <row r="127" spans="1:1" x14ac:dyDescent="0.2">
      <c r="A127" t="s">
        <v>9</v>
      </c>
    </row>
    <row r="128" spans="1:1" x14ac:dyDescent="0.2">
      <c r="A128" t="s">
        <v>9</v>
      </c>
    </row>
    <row r="129" spans="1:1" x14ac:dyDescent="0.2">
      <c r="A129" t="s">
        <v>9</v>
      </c>
    </row>
    <row r="130" spans="1:1" x14ac:dyDescent="0.2">
      <c r="A130" t="s">
        <v>9</v>
      </c>
    </row>
    <row r="131" spans="1:1" x14ac:dyDescent="0.2">
      <c r="A131" t="s">
        <v>9</v>
      </c>
    </row>
    <row r="132" spans="1:1" x14ac:dyDescent="0.2">
      <c r="A132" t="s">
        <v>9</v>
      </c>
    </row>
    <row r="133" spans="1:1" x14ac:dyDescent="0.2">
      <c r="A133" t="s">
        <v>9</v>
      </c>
    </row>
    <row r="134" spans="1:1" x14ac:dyDescent="0.2">
      <c r="A134" t="s">
        <v>9</v>
      </c>
    </row>
    <row r="135" spans="1:1" x14ac:dyDescent="0.2">
      <c r="A135" t="s">
        <v>9</v>
      </c>
    </row>
    <row r="136" spans="1:1" x14ac:dyDescent="0.2">
      <c r="A136" t="s">
        <v>9</v>
      </c>
    </row>
    <row r="137" spans="1:1" x14ac:dyDescent="0.2">
      <c r="A137" t="s">
        <v>9</v>
      </c>
    </row>
    <row r="138" spans="1:1" x14ac:dyDescent="0.2">
      <c r="A138" t="s">
        <v>9</v>
      </c>
    </row>
    <row r="139" spans="1:1" x14ac:dyDescent="0.2">
      <c r="A139" t="s">
        <v>9</v>
      </c>
    </row>
    <row r="140" spans="1:1" x14ac:dyDescent="0.2">
      <c r="A140" t="s">
        <v>9</v>
      </c>
    </row>
    <row r="141" spans="1:1" x14ac:dyDescent="0.2">
      <c r="A141" t="s">
        <v>9</v>
      </c>
    </row>
    <row r="142" spans="1:1" x14ac:dyDescent="0.2">
      <c r="A142" t="s">
        <v>9</v>
      </c>
    </row>
    <row r="143" spans="1:1" x14ac:dyDescent="0.2">
      <c r="A143" t="s">
        <v>9</v>
      </c>
    </row>
    <row r="144" spans="1:1" x14ac:dyDescent="0.2">
      <c r="A144" t="s">
        <v>9</v>
      </c>
    </row>
    <row r="145" spans="1:1" x14ac:dyDescent="0.2">
      <c r="A145" t="s">
        <v>9</v>
      </c>
    </row>
    <row r="146" spans="1:1" x14ac:dyDescent="0.2">
      <c r="A146" t="s">
        <v>9</v>
      </c>
    </row>
    <row r="147" spans="1:1" x14ac:dyDescent="0.2">
      <c r="A147" t="s">
        <v>9</v>
      </c>
    </row>
    <row r="148" spans="1:1" x14ac:dyDescent="0.2">
      <c r="A148" t="s">
        <v>9</v>
      </c>
    </row>
    <row r="149" spans="1:1" x14ac:dyDescent="0.2">
      <c r="A149" t="s">
        <v>9</v>
      </c>
    </row>
    <row r="150" spans="1:1" x14ac:dyDescent="0.2">
      <c r="A150" t="s">
        <v>9</v>
      </c>
    </row>
    <row r="151" spans="1:1" x14ac:dyDescent="0.2">
      <c r="A151" t="s">
        <v>9</v>
      </c>
    </row>
    <row r="152" spans="1:1" x14ac:dyDescent="0.2">
      <c r="A152" t="s">
        <v>9</v>
      </c>
    </row>
    <row r="153" spans="1:1" x14ac:dyDescent="0.2">
      <c r="A153" t="s">
        <v>9</v>
      </c>
    </row>
    <row r="154" spans="1:1" x14ac:dyDescent="0.2">
      <c r="A154" t="s">
        <v>9</v>
      </c>
    </row>
    <row r="155" spans="1:1" x14ac:dyDescent="0.2">
      <c r="A155" t="s">
        <v>9</v>
      </c>
    </row>
    <row r="156" spans="1:1" x14ac:dyDescent="0.2">
      <c r="A156" t="s">
        <v>9</v>
      </c>
    </row>
    <row r="157" spans="1:1" x14ac:dyDescent="0.2">
      <c r="A157" t="s">
        <v>9</v>
      </c>
    </row>
    <row r="158" spans="1:1" x14ac:dyDescent="0.2">
      <c r="A158" t="s">
        <v>9</v>
      </c>
    </row>
    <row r="159" spans="1:1" x14ac:dyDescent="0.2">
      <c r="A159" t="s">
        <v>9</v>
      </c>
    </row>
    <row r="160" spans="1:1" x14ac:dyDescent="0.2">
      <c r="A160" t="s">
        <v>9</v>
      </c>
    </row>
    <row r="161" spans="1:1" x14ac:dyDescent="0.2">
      <c r="A161" t="s">
        <v>9</v>
      </c>
    </row>
    <row r="162" spans="1:1" x14ac:dyDescent="0.2">
      <c r="A162" t="s">
        <v>9</v>
      </c>
    </row>
    <row r="163" spans="1:1" x14ac:dyDescent="0.2">
      <c r="A163" t="s">
        <v>9</v>
      </c>
    </row>
    <row r="164" spans="1:1" x14ac:dyDescent="0.2">
      <c r="A164" t="s">
        <v>9</v>
      </c>
    </row>
    <row r="165" spans="1:1" x14ac:dyDescent="0.2">
      <c r="A165" t="s">
        <v>9</v>
      </c>
    </row>
    <row r="166" spans="1:1" x14ac:dyDescent="0.2">
      <c r="A166" t="s">
        <v>9</v>
      </c>
    </row>
    <row r="167" spans="1:1" x14ac:dyDescent="0.2">
      <c r="A167" t="s">
        <v>9</v>
      </c>
    </row>
    <row r="168" spans="1:1" x14ac:dyDescent="0.2">
      <c r="A168" t="s">
        <v>9</v>
      </c>
    </row>
    <row r="169" spans="1:1" x14ac:dyDescent="0.2">
      <c r="A169" t="s">
        <v>9</v>
      </c>
    </row>
    <row r="170" spans="1:1" x14ac:dyDescent="0.2">
      <c r="A170" t="s">
        <v>9</v>
      </c>
    </row>
    <row r="171" spans="1:1" x14ac:dyDescent="0.2">
      <c r="A171" t="s">
        <v>9</v>
      </c>
    </row>
    <row r="172" spans="1:1" x14ac:dyDescent="0.2">
      <c r="A172" t="s">
        <v>9</v>
      </c>
    </row>
    <row r="173" spans="1:1" x14ac:dyDescent="0.2">
      <c r="A173" t="s">
        <v>9</v>
      </c>
    </row>
    <row r="174" spans="1:1" x14ac:dyDescent="0.2">
      <c r="A174" t="s">
        <v>9</v>
      </c>
    </row>
    <row r="175" spans="1:1" x14ac:dyDescent="0.2">
      <c r="A175" t="s">
        <v>9</v>
      </c>
    </row>
    <row r="176" spans="1:1" x14ac:dyDescent="0.2">
      <c r="A176" t="s">
        <v>9</v>
      </c>
    </row>
    <row r="177" spans="1:1" x14ac:dyDescent="0.2">
      <c r="A177" t="s">
        <v>9</v>
      </c>
    </row>
    <row r="178" spans="1:1" x14ac:dyDescent="0.2">
      <c r="A178" t="s">
        <v>9</v>
      </c>
    </row>
    <row r="179" spans="1:1" x14ac:dyDescent="0.2">
      <c r="A179" t="s">
        <v>9</v>
      </c>
    </row>
    <row r="180" spans="1:1" x14ac:dyDescent="0.2">
      <c r="A18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524A-762B-3842-BCBE-45600F7CE0AB}">
  <dimension ref="B1:W47"/>
  <sheetViews>
    <sheetView workbookViewId="0">
      <selection activeCell="W36" sqref="A1:W36"/>
    </sheetView>
  </sheetViews>
  <sheetFormatPr baseColWidth="10" defaultRowHeight="16" x14ac:dyDescent="0.2"/>
  <cols>
    <col min="12" max="12" width="2.33203125" customWidth="1"/>
    <col min="13" max="13" width="4.1640625" customWidth="1"/>
  </cols>
  <sheetData>
    <row r="1" spans="2:23" x14ac:dyDescent="0.2">
      <c r="B1" t="s">
        <v>144</v>
      </c>
      <c r="C1" t="s">
        <v>9</v>
      </c>
      <c r="D1">
        <v>1</v>
      </c>
      <c r="E1">
        <v>9</v>
      </c>
      <c r="F1">
        <v>8</v>
      </c>
      <c r="G1">
        <v>0</v>
      </c>
      <c r="H1">
        <v>2</v>
      </c>
      <c r="I1">
        <v>10</v>
      </c>
      <c r="J1">
        <v>11</v>
      </c>
      <c r="K1">
        <v>3</v>
      </c>
      <c r="L1" t="s">
        <v>10</v>
      </c>
      <c r="M1" t="s">
        <v>9</v>
      </c>
      <c r="N1">
        <f t="shared" ref="N1:N7" si="0">Nx_noz_1</f>
        <v>400</v>
      </c>
      <c r="O1">
        <f>Ny_outer</f>
        <v>6</v>
      </c>
      <c r="P1">
        <f>nz</f>
        <v>6</v>
      </c>
      <c r="Q1" t="s">
        <v>10</v>
      </c>
      <c r="R1" t="s">
        <v>151</v>
      </c>
      <c r="S1">
        <v>1</v>
      </c>
      <c r="T1">
        <v>1</v>
      </c>
      <c r="U1">
        <v>1</v>
      </c>
      <c r="V1" t="s">
        <v>10</v>
      </c>
      <c r="W1" t="s">
        <v>11</v>
      </c>
    </row>
    <row r="2" spans="2:23" x14ac:dyDescent="0.2">
      <c r="B2" t="s">
        <v>144</v>
      </c>
      <c r="C2" t="s">
        <v>9</v>
      </c>
      <c r="D2">
        <v>5</v>
      </c>
      <c r="E2">
        <v>13</v>
      </c>
      <c r="F2">
        <v>9</v>
      </c>
      <c r="G2">
        <v>1</v>
      </c>
      <c r="H2">
        <v>6</v>
      </c>
      <c r="I2">
        <v>14</v>
      </c>
      <c r="J2">
        <v>10</v>
      </c>
      <c r="K2">
        <v>2</v>
      </c>
      <c r="L2" t="s">
        <v>10</v>
      </c>
      <c r="M2" t="s">
        <v>9</v>
      </c>
      <c r="N2">
        <f t="shared" si="0"/>
        <v>400</v>
      </c>
      <c r="O2">
        <f>Ny_center</f>
        <v>10</v>
      </c>
      <c r="P2">
        <f>nz</f>
        <v>6</v>
      </c>
      <c r="Q2" t="s">
        <v>10</v>
      </c>
      <c r="R2" t="s">
        <v>151</v>
      </c>
      <c r="S2">
        <v>1</v>
      </c>
      <c r="T2">
        <v>1</v>
      </c>
      <c r="U2">
        <v>1</v>
      </c>
      <c r="V2" t="s">
        <v>10</v>
      </c>
      <c r="W2" t="s">
        <v>12</v>
      </c>
    </row>
    <row r="3" spans="2:23" x14ac:dyDescent="0.2">
      <c r="B3" t="s">
        <v>144</v>
      </c>
      <c r="C3" t="s">
        <v>9</v>
      </c>
      <c r="D3">
        <v>4</v>
      </c>
      <c r="E3">
        <v>12</v>
      </c>
      <c r="F3">
        <v>13</v>
      </c>
      <c r="G3">
        <v>5</v>
      </c>
      <c r="H3">
        <v>7</v>
      </c>
      <c r="I3">
        <v>15</v>
      </c>
      <c r="J3">
        <v>14</v>
      </c>
      <c r="K3">
        <v>6</v>
      </c>
      <c r="L3" t="s">
        <v>10</v>
      </c>
      <c r="M3" t="s">
        <v>9</v>
      </c>
      <c r="N3">
        <f t="shared" si="0"/>
        <v>400</v>
      </c>
      <c r="O3">
        <f>Ny_outer</f>
        <v>6</v>
      </c>
      <c r="P3">
        <f>nz</f>
        <v>6</v>
      </c>
      <c r="Q3" t="s">
        <v>10</v>
      </c>
      <c r="R3" t="s">
        <v>151</v>
      </c>
      <c r="S3">
        <v>1</v>
      </c>
      <c r="T3">
        <v>1</v>
      </c>
      <c r="U3">
        <v>1</v>
      </c>
      <c r="V3" t="s">
        <v>10</v>
      </c>
      <c r="W3" t="s">
        <v>13</v>
      </c>
    </row>
    <row r="4" spans="2:23" x14ac:dyDescent="0.2">
      <c r="B4" t="s">
        <v>144</v>
      </c>
      <c r="C4" t="s">
        <v>9</v>
      </c>
      <c r="D4">
        <v>6</v>
      </c>
      <c r="E4">
        <v>14</v>
      </c>
      <c r="F4">
        <v>10</v>
      </c>
      <c r="G4">
        <v>2</v>
      </c>
      <c r="H4">
        <v>17</v>
      </c>
      <c r="I4">
        <v>19</v>
      </c>
      <c r="J4">
        <v>18</v>
      </c>
      <c r="K4">
        <v>16</v>
      </c>
      <c r="L4" t="s">
        <v>10</v>
      </c>
      <c r="M4" t="s">
        <v>9</v>
      </c>
      <c r="N4">
        <f t="shared" si="0"/>
        <v>400</v>
      </c>
      <c r="O4">
        <f>Ny_center</f>
        <v>10</v>
      </c>
      <c r="P4">
        <f>nz</f>
        <v>6</v>
      </c>
      <c r="Q4" t="s">
        <v>10</v>
      </c>
      <c r="R4" t="s">
        <v>151</v>
      </c>
      <c r="S4">
        <v>1</v>
      </c>
      <c r="T4">
        <v>1</v>
      </c>
      <c r="U4">
        <v>1</v>
      </c>
      <c r="V4" t="s">
        <v>10</v>
      </c>
      <c r="W4" t="s">
        <v>14</v>
      </c>
    </row>
    <row r="5" spans="2:23" x14ac:dyDescent="0.2">
      <c r="B5" t="s">
        <v>144</v>
      </c>
      <c r="C5" t="s">
        <v>9</v>
      </c>
      <c r="D5">
        <v>2</v>
      </c>
      <c r="E5">
        <v>10</v>
      </c>
      <c r="F5">
        <v>11</v>
      </c>
      <c r="G5">
        <v>3</v>
      </c>
      <c r="H5">
        <v>16</v>
      </c>
      <c r="I5">
        <v>18</v>
      </c>
      <c r="J5">
        <v>22</v>
      </c>
      <c r="K5">
        <v>20</v>
      </c>
      <c r="L5" t="s">
        <v>10</v>
      </c>
      <c r="M5" t="s">
        <v>9</v>
      </c>
      <c r="N5">
        <f t="shared" si="0"/>
        <v>400</v>
      </c>
      <c r="O5">
        <f>Ny_outer</f>
        <v>6</v>
      </c>
      <c r="P5">
        <f>nz</f>
        <v>6</v>
      </c>
      <c r="Q5" t="s">
        <v>10</v>
      </c>
      <c r="R5" t="s">
        <v>151</v>
      </c>
      <c r="S5">
        <v>1</v>
      </c>
      <c r="T5">
        <v>1</v>
      </c>
      <c r="U5">
        <v>1</v>
      </c>
      <c r="V5" t="s">
        <v>10</v>
      </c>
      <c r="W5" t="s">
        <v>15</v>
      </c>
    </row>
    <row r="6" spans="2:23" x14ac:dyDescent="0.2">
      <c r="B6" t="s">
        <v>144</v>
      </c>
      <c r="C6" t="s">
        <v>9</v>
      </c>
      <c r="D6">
        <v>17</v>
      </c>
      <c r="E6">
        <v>19</v>
      </c>
      <c r="F6">
        <v>18</v>
      </c>
      <c r="G6">
        <v>16</v>
      </c>
      <c r="H6">
        <v>21</v>
      </c>
      <c r="I6">
        <v>23</v>
      </c>
      <c r="J6">
        <v>22</v>
      </c>
      <c r="K6">
        <v>20</v>
      </c>
      <c r="L6" t="s">
        <v>10</v>
      </c>
      <c r="M6" t="s">
        <v>9</v>
      </c>
      <c r="N6">
        <f t="shared" si="0"/>
        <v>400</v>
      </c>
      <c r="O6">
        <f>Ny_center</f>
        <v>10</v>
      </c>
      <c r="P6">
        <f>Ny_outer</f>
        <v>6</v>
      </c>
      <c r="Q6" t="s">
        <v>10</v>
      </c>
      <c r="R6" t="s">
        <v>151</v>
      </c>
      <c r="S6">
        <v>1</v>
      </c>
      <c r="T6">
        <v>1</v>
      </c>
      <c r="U6">
        <v>1</v>
      </c>
      <c r="V6" t="s">
        <v>10</v>
      </c>
      <c r="W6" t="s">
        <v>16</v>
      </c>
    </row>
    <row r="7" spans="2:23" x14ac:dyDescent="0.2">
      <c r="B7" t="s">
        <v>144</v>
      </c>
      <c r="C7" t="s">
        <v>9</v>
      </c>
      <c r="D7">
        <v>7</v>
      </c>
      <c r="E7">
        <v>15</v>
      </c>
      <c r="F7">
        <v>14</v>
      </c>
      <c r="G7">
        <v>6</v>
      </c>
      <c r="H7">
        <v>21</v>
      </c>
      <c r="I7">
        <v>23</v>
      </c>
      <c r="J7">
        <v>19</v>
      </c>
      <c r="K7">
        <v>17</v>
      </c>
      <c r="L7" t="s">
        <v>10</v>
      </c>
      <c r="M7" t="s">
        <v>9</v>
      </c>
      <c r="N7">
        <f t="shared" si="0"/>
        <v>400</v>
      </c>
      <c r="O7">
        <f>Ny_outer</f>
        <v>6</v>
      </c>
      <c r="P7">
        <f t="shared" ref="P7:P13" si="1">nz</f>
        <v>6</v>
      </c>
      <c r="Q7" t="s">
        <v>10</v>
      </c>
      <c r="R7" t="s">
        <v>151</v>
      </c>
      <c r="S7">
        <v>1</v>
      </c>
      <c r="T7">
        <v>1</v>
      </c>
      <c r="U7">
        <v>1</v>
      </c>
      <c r="V7" t="s">
        <v>10</v>
      </c>
      <c r="W7" t="s">
        <v>17</v>
      </c>
    </row>
    <row r="8" spans="2:23" x14ac:dyDescent="0.2">
      <c r="B8" t="s">
        <v>144</v>
      </c>
      <c r="C8" t="s">
        <v>9</v>
      </c>
      <c r="D8">
        <v>9</v>
      </c>
      <c r="E8">
        <v>25</v>
      </c>
      <c r="F8">
        <v>24</v>
      </c>
      <c r="G8">
        <v>8</v>
      </c>
      <c r="H8">
        <v>10</v>
      </c>
      <c r="I8">
        <v>29</v>
      </c>
      <c r="J8">
        <v>28</v>
      </c>
      <c r="K8">
        <v>11</v>
      </c>
      <c r="L8" t="s">
        <v>10</v>
      </c>
      <c r="M8" t="s">
        <v>9</v>
      </c>
      <c r="N8" s="7">
        <f t="shared" ref="N8:N14" si="2">Nx_inj</f>
        <v>10</v>
      </c>
      <c r="O8">
        <f>Ny_outer</f>
        <v>6</v>
      </c>
      <c r="P8">
        <f t="shared" si="1"/>
        <v>6</v>
      </c>
      <c r="Q8" t="s">
        <v>10</v>
      </c>
      <c r="R8" t="s">
        <v>151</v>
      </c>
      <c r="S8">
        <v>1</v>
      </c>
      <c r="T8">
        <v>1</v>
      </c>
      <c r="U8">
        <v>1</v>
      </c>
      <c r="V8" t="s">
        <v>10</v>
      </c>
      <c r="W8" t="s">
        <v>18</v>
      </c>
    </row>
    <row r="9" spans="2:23" x14ac:dyDescent="0.2">
      <c r="B9" t="s">
        <v>144</v>
      </c>
      <c r="C9" t="s">
        <v>9</v>
      </c>
      <c r="D9">
        <v>10</v>
      </c>
      <c r="E9">
        <v>29</v>
      </c>
      <c r="F9">
        <v>28</v>
      </c>
      <c r="G9">
        <v>11</v>
      </c>
      <c r="H9">
        <v>18</v>
      </c>
      <c r="I9">
        <v>34</v>
      </c>
      <c r="J9">
        <v>32</v>
      </c>
      <c r="K9">
        <v>22</v>
      </c>
      <c r="L9" t="s">
        <v>10</v>
      </c>
      <c r="M9" t="s">
        <v>9</v>
      </c>
      <c r="N9" s="7">
        <f t="shared" si="2"/>
        <v>10</v>
      </c>
      <c r="O9">
        <f>Ny_outer</f>
        <v>6</v>
      </c>
      <c r="P9">
        <f t="shared" si="1"/>
        <v>6</v>
      </c>
      <c r="Q9" t="s">
        <v>10</v>
      </c>
      <c r="R9" t="s">
        <v>151</v>
      </c>
      <c r="S9">
        <v>1</v>
      </c>
      <c r="T9">
        <v>1</v>
      </c>
      <c r="U9">
        <v>1</v>
      </c>
      <c r="V9" t="s">
        <v>10</v>
      </c>
      <c r="W9" t="s">
        <v>19</v>
      </c>
    </row>
    <row r="10" spans="2:23" x14ac:dyDescent="0.2">
      <c r="B10" t="s">
        <v>144</v>
      </c>
      <c r="C10" t="s">
        <v>9</v>
      </c>
      <c r="D10">
        <v>13</v>
      </c>
      <c r="E10">
        <v>26</v>
      </c>
      <c r="F10">
        <v>25</v>
      </c>
      <c r="G10">
        <v>9</v>
      </c>
      <c r="H10">
        <v>14</v>
      </c>
      <c r="I10">
        <v>30</v>
      </c>
      <c r="J10">
        <v>29</v>
      </c>
      <c r="K10">
        <v>10</v>
      </c>
      <c r="L10" t="s">
        <v>10</v>
      </c>
      <c r="M10" t="s">
        <v>9</v>
      </c>
      <c r="N10" s="7">
        <f t="shared" si="2"/>
        <v>10</v>
      </c>
      <c r="O10">
        <f>Ny_center</f>
        <v>10</v>
      </c>
      <c r="P10">
        <f t="shared" si="1"/>
        <v>6</v>
      </c>
      <c r="Q10" t="s">
        <v>10</v>
      </c>
      <c r="R10" t="s">
        <v>151</v>
      </c>
      <c r="S10">
        <v>1</v>
      </c>
      <c r="T10">
        <v>1</v>
      </c>
      <c r="U10">
        <v>1</v>
      </c>
      <c r="V10" t="s">
        <v>10</v>
      </c>
      <c r="W10" t="s">
        <v>20</v>
      </c>
    </row>
    <row r="11" spans="2:23" x14ac:dyDescent="0.2">
      <c r="B11" t="s">
        <v>144</v>
      </c>
      <c r="C11" t="s">
        <v>9</v>
      </c>
      <c r="D11">
        <v>12</v>
      </c>
      <c r="E11">
        <v>27</v>
      </c>
      <c r="F11">
        <v>26</v>
      </c>
      <c r="G11">
        <v>13</v>
      </c>
      <c r="H11">
        <v>15</v>
      </c>
      <c r="I11">
        <v>31</v>
      </c>
      <c r="J11">
        <v>30</v>
      </c>
      <c r="K11">
        <v>14</v>
      </c>
      <c r="L11" t="s">
        <v>10</v>
      </c>
      <c r="M11" t="s">
        <v>9</v>
      </c>
      <c r="N11" s="7">
        <f t="shared" si="2"/>
        <v>10</v>
      </c>
      <c r="O11">
        <f>Ny_outer</f>
        <v>6</v>
      </c>
      <c r="P11">
        <f t="shared" si="1"/>
        <v>6</v>
      </c>
      <c r="Q11" t="s">
        <v>10</v>
      </c>
      <c r="R11" t="s">
        <v>151</v>
      </c>
      <c r="S11">
        <v>1</v>
      </c>
      <c r="T11">
        <v>1</v>
      </c>
      <c r="U11">
        <v>1</v>
      </c>
      <c r="V11" t="s">
        <v>10</v>
      </c>
      <c r="W11" t="s">
        <v>21</v>
      </c>
    </row>
    <row r="12" spans="2:23" x14ac:dyDescent="0.2">
      <c r="B12" t="s">
        <v>144</v>
      </c>
      <c r="C12" t="s">
        <v>9</v>
      </c>
      <c r="D12">
        <v>14</v>
      </c>
      <c r="E12">
        <v>30</v>
      </c>
      <c r="F12">
        <v>29</v>
      </c>
      <c r="G12">
        <v>10</v>
      </c>
      <c r="H12">
        <v>19</v>
      </c>
      <c r="I12">
        <v>35</v>
      </c>
      <c r="J12">
        <v>34</v>
      </c>
      <c r="K12">
        <v>18</v>
      </c>
      <c r="L12" t="s">
        <v>10</v>
      </c>
      <c r="M12" t="s">
        <v>9</v>
      </c>
      <c r="N12" s="7">
        <f t="shared" si="2"/>
        <v>10</v>
      </c>
      <c r="O12">
        <f>Ny_center</f>
        <v>10</v>
      </c>
      <c r="P12">
        <f t="shared" si="1"/>
        <v>6</v>
      </c>
      <c r="Q12" t="s">
        <v>10</v>
      </c>
      <c r="R12" t="s">
        <v>151</v>
      </c>
      <c r="S12">
        <v>1</v>
      </c>
      <c r="T12">
        <v>1</v>
      </c>
      <c r="U12">
        <v>1</v>
      </c>
      <c r="V12" t="s">
        <v>10</v>
      </c>
      <c r="W12" t="s">
        <v>22</v>
      </c>
    </row>
    <row r="13" spans="2:23" x14ac:dyDescent="0.2">
      <c r="B13" t="s">
        <v>144</v>
      </c>
      <c r="C13" t="s">
        <v>9</v>
      </c>
      <c r="D13">
        <v>15</v>
      </c>
      <c r="E13">
        <v>31</v>
      </c>
      <c r="F13">
        <v>30</v>
      </c>
      <c r="G13">
        <v>14</v>
      </c>
      <c r="H13">
        <v>23</v>
      </c>
      <c r="I13">
        <v>33</v>
      </c>
      <c r="J13">
        <v>35</v>
      </c>
      <c r="K13">
        <v>19</v>
      </c>
      <c r="L13" t="s">
        <v>10</v>
      </c>
      <c r="M13" t="s">
        <v>9</v>
      </c>
      <c r="N13" s="7">
        <f t="shared" si="2"/>
        <v>10</v>
      </c>
      <c r="O13">
        <f>Ny_outer</f>
        <v>6</v>
      </c>
      <c r="P13">
        <f t="shared" si="1"/>
        <v>6</v>
      </c>
      <c r="Q13" t="s">
        <v>10</v>
      </c>
      <c r="R13" t="s">
        <v>151</v>
      </c>
      <c r="S13">
        <v>1</v>
      </c>
      <c r="T13">
        <v>1</v>
      </c>
      <c r="U13">
        <v>1</v>
      </c>
      <c r="V13" t="s">
        <v>10</v>
      </c>
      <c r="W13" t="s">
        <v>23</v>
      </c>
    </row>
    <row r="14" spans="2:23" x14ac:dyDescent="0.2">
      <c r="B14" t="s">
        <v>144</v>
      </c>
      <c r="C14" t="s">
        <v>9</v>
      </c>
      <c r="D14">
        <v>19</v>
      </c>
      <c r="E14">
        <v>35</v>
      </c>
      <c r="F14">
        <v>34</v>
      </c>
      <c r="G14">
        <v>18</v>
      </c>
      <c r="H14">
        <v>23</v>
      </c>
      <c r="I14">
        <v>33</v>
      </c>
      <c r="J14">
        <v>32</v>
      </c>
      <c r="K14">
        <v>22</v>
      </c>
      <c r="L14" t="s">
        <v>10</v>
      </c>
      <c r="M14" t="s">
        <v>9</v>
      </c>
      <c r="N14" s="7">
        <f t="shared" si="2"/>
        <v>10</v>
      </c>
      <c r="O14">
        <f>Ny_center</f>
        <v>10</v>
      </c>
      <c r="P14">
        <f>Ny_outer</f>
        <v>6</v>
      </c>
      <c r="Q14" t="s">
        <v>10</v>
      </c>
      <c r="R14" t="s">
        <v>151</v>
      </c>
      <c r="S14">
        <v>1</v>
      </c>
      <c r="T14">
        <v>1</v>
      </c>
      <c r="U14">
        <v>1</v>
      </c>
      <c r="V14" t="s">
        <v>10</v>
      </c>
      <c r="W14" t="s">
        <v>24</v>
      </c>
    </row>
    <row r="15" spans="2:23" x14ac:dyDescent="0.2">
      <c r="B15" t="s">
        <v>144</v>
      </c>
      <c r="C15" t="s">
        <v>9</v>
      </c>
      <c r="D15">
        <v>25</v>
      </c>
      <c r="E15">
        <v>37</v>
      </c>
      <c r="F15">
        <v>36</v>
      </c>
      <c r="G15">
        <v>24</v>
      </c>
      <c r="H15">
        <v>29</v>
      </c>
      <c r="I15">
        <v>41</v>
      </c>
      <c r="J15">
        <v>40</v>
      </c>
      <c r="K15">
        <v>28</v>
      </c>
      <c r="L15" t="s">
        <v>10</v>
      </c>
      <c r="M15" t="s">
        <v>9</v>
      </c>
      <c r="N15">
        <f t="shared" ref="N15:N21" si="3">Nx_noz_2</f>
        <v>100</v>
      </c>
      <c r="O15">
        <f>Ny_outer</f>
        <v>6</v>
      </c>
      <c r="P15">
        <f t="shared" ref="P15:P20" si="4">nz</f>
        <v>6</v>
      </c>
      <c r="Q15" t="s">
        <v>10</v>
      </c>
      <c r="R15" t="s">
        <v>151</v>
      </c>
      <c r="S15">
        <v>1</v>
      </c>
      <c r="T15">
        <v>1</v>
      </c>
      <c r="U15">
        <v>1</v>
      </c>
      <c r="V15" t="s">
        <v>10</v>
      </c>
      <c r="W15" t="s">
        <v>25</v>
      </c>
    </row>
    <row r="16" spans="2:23" x14ac:dyDescent="0.2">
      <c r="B16" t="s">
        <v>144</v>
      </c>
      <c r="C16" t="s">
        <v>9</v>
      </c>
      <c r="D16">
        <v>29</v>
      </c>
      <c r="E16">
        <v>41</v>
      </c>
      <c r="F16">
        <v>40</v>
      </c>
      <c r="G16">
        <v>28</v>
      </c>
      <c r="H16">
        <v>34</v>
      </c>
      <c r="I16">
        <v>44</v>
      </c>
      <c r="J16">
        <v>46</v>
      </c>
      <c r="K16">
        <v>32</v>
      </c>
      <c r="L16" t="s">
        <v>10</v>
      </c>
      <c r="M16" t="s">
        <v>9</v>
      </c>
      <c r="N16">
        <f t="shared" si="3"/>
        <v>100</v>
      </c>
      <c r="O16">
        <f>Ny_outer</f>
        <v>6</v>
      </c>
      <c r="P16">
        <f t="shared" si="4"/>
        <v>6</v>
      </c>
      <c r="Q16" t="s">
        <v>10</v>
      </c>
      <c r="R16" t="s">
        <v>151</v>
      </c>
      <c r="S16">
        <v>1</v>
      </c>
      <c r="T16">
        <v>1</v>
      </c>
      <c r="U16">
        <v>1</v>
      </c>
      <c r="V16" t="s">
        <v>10</v>
      </c>
      <c r="W16" t="s">
        <v>26</v>
      </c>
    </row>
    <row r="17" spans="2:23" x14ac:dyDescent="0.2">
      <c r="B17" t="s">
        <v>144</v>
      </c>
      <c r="C17" t="s">
        <v>9</v>
      </c>
      <c r="D17">
        <v>26</v>
      </c>
      <c r="E17">
        <v>38</v>
      </c>
      <c r="F17">
        <v>37</v>
      </c>
      <c r="G17">
        <v>25</v>
      </c>
      <c r="H17">
        <v>30</v>
      </c>
      <c r="I17">
        <v>42</v>
      </c>
      <c r="J17">
        <v>41</v>
      </c>
      <c r="K17">
        <v>29</v>
      </c>
      <c r="L17" t="s">
        <v>10</v>
      </c>
      <c r="M17" t="s">
        <v>9</v>
      </c>
      <c r="N17">
        <f t="shared" si="3"/>
        <v>100</v>
      </c>
      <c r="O17">
        <f>Ny_center</f>
        <v>10</v>
      </c>
      <c r="P17">
        <f t="shared" si="4"/>
        <v>6</v>
      </c>
      <c r="Q17" t="s">
        <v>10</v>
      </c>
      <c r="R17" t="s">
        <v>151</v>
      </c>
      <c r="S17">
        <v>1</v>
      </c>
      <c r="T17">
        <v>1</v>
      </c>
      <c r="U17">
        <v>1</v>
      </c>
      <c r="V17" t="s">
        <v>10</v>
      </c>
      <c r="W17" t="s">
        <v>27</v>
      </c>
    </row>
    <row r="18" spans="2:23" x14ac:dyDescent="0.2">
      <c r="B18" t="s">
        <v>144</v>
      </c>
      <c r="C18" t="s">
        <v>9</v>
      </c>
      <c r="D18">
        <v>27</v>
      </c>
      <c r="E18">
        <v>39</v>
      </c>
      <c r="F18">
        <v>38</v>
      </c>
      <c r="G18">
        <v>26</v>
      </c>
      <c r="H18">
        <v>31</v>
      </c>
      <c r="I18">
        <v>43</v>
      </c>
      <c r="J18">
        <v>42</v>
      </c>
      <c r="K18">
        <v>30</v>
      </c>
      <c r="L18" t="s">
        <v>10</v>
      </c>
      <c r="M18" t="s">
        <v>9</v>
      </c>
      <c r="N18">
        <f t="shared" si="3"/>
        <v>100</v>
      </c>
      <c r="O18">
        <f>Ny_outer</f>
        <v>6</v>
      </c>
      <c r="P18">
        <f t="shared" si="4"/>
        <v>6</v>
      </c>
      <c r="Q18" t="s">
        <v>10</v>
      </c>
      <c r="R18" t="s">
        <v>151</v>
      </c>
      <c r="S18">
        <v>1</v>
      </c>
      <c r="T18">
        <v>1</v>
      </c>
      <c r="U18">
        <v>1</v>
      </c>
      <c r="V18" t="s">
        <v>10</v>
      </c>
      <c r="W18" t="s">
        <v>28</v>
      </c>
    </row>
    <row r="19" spans="2:23" x14ac:dyDescent="0.2">
      <c r="B19" t="s">
        <v>144</v>
      </c>
      <c r="C19" t="s">
        <v>9</v>
      </c>
      <c r="D19">
        <v>31</v>
      </c>
      <c r="E19">
        <v>43</v>
      </c>
      <c r="F19">
        <v>42</v>
      </c>
      <c r="G19">
        <v>30</v>
      </c>
      <c r="H19">
        <v>33</v>
      </c>
      <c r="I19">
        <v>47</v>
      </c>
      <c r="J19">
        <v>45</v>
      </c>
      <c r="K19">
        <v>35</v>
      </c>
      <c r="L19" t="s">
        <v>10</v>
      </c>
      <c r="M19" t="s">
        <v>9</v>
      </c>
      <c r="N19">
        <f t="shared" si="3"/>
        <v>100</v>
      </c>
      <c r="O19">
        <f>Ny_outer</f>
        <v>6</v>
      </c>
      <c r="P19">
        <f t="shared" si="4"/>
        <v>6</v>
      </c>
      <c r="Q19" t="s">
        <v>10</v>
      </c>
      <c r="R19" t="s">
        <v>151</v>
      </c>
      <c r="S19">
        <v>1</v>
      </c>
      <c r="T19">
        <v>1</v>
      </c>
      <c r="U19">
        <v>1</v>
      </c>
      <c r="V19" t="s">
        <v>10</v>
      </c>
      <c r="W19" t="s">
        <v>29</v>
      </c>
    </row>
    <row r="20" spans="2:23" x14ac:dyDescent="0.2">
      <c r="B20" t="s">
        <v>144</v>
      </c>
      <c r="C20" t="s">
        <v>9</v>
      </c>
      <c r="D20">
        <v>30</v>
      </c>
      <c r="E20">
        <v>42</v>
      </c>
      <c r="F20">
        <v>41</v>
      </c>
      <c r="G20">
        <v>29</v>
      </c>
      <c r="H20">
        <v>35</v>
      </c>
      <c r="I20">
        <v>45</v>
      </c>
      <c r="J20">
        <v>44</v>
      </c>
      <c r="K20">
        <v>34</v>
      </c>
      <c r="L20" t="s">
        <v>10</v>
      </c>
      <c r="M20" t="s">
        <v>9</v>
      </c>
      <c r="N20">
        <f t="shared" si="3"/>
        <v>100</v>
      </c>
      <c r="O20">
        <f>Ny_center</f>
        <v>10</v>
      </c>
      <c r="P20">
        <f t="shared" si="4"/>
        <v>6</v>
      </c>
      <c r="Q20" t="s">
        <v>10</v>
      </c>
      <c r="R20" t="s">
        <v>151</v>
      </c>
      <c r="S20">
        <v>1</v>
      </c>
      <c r="T20">
        <v>1</v>
      </c>
      <c r="U20">
        <v>1</v>
      </c>
      <c r="V20" t="s">
        <v>10</v>
      </c>
      <c r="W20" t="s">
        <v>30</v>
      </c>
    </row>
    <row r="21" spans="2:23" x14ac:dyDescent="0.2">
      <c r="B21" t="s">
        <v>144</v>
      </c>
      <c r="C21" t="s">
        <v>9</v>
      </c>
      <c r="D21">
        <v>35</v>
      </c>
      <c r="E21">
        <v>45</v>
      </c>
      <c r="F21">
        <v>44</v>
      </c>
      <c r="G21">
        <v>34</v>
      </c>
      <c r="H21">
        <v>33</v>
      </c>
      <c r="I21">
        <v>47</v>
      </c>
      <c r="J21">
        <v>46</v>
      </c>
      <c r="K21">
        <v>32</v>
      </c>
      <c r="L21" t="s">
        <v>10</v>
      </c>
      <c r="M21" t="s">
        <v>9</v>
      </c>
      <c r="N21">
        <f t="shared" si="3"/>
        <v>100</v>
      </c>
      <c r="O21">
        <f>Ny_center</f>
        <v>10</v>
      </c>
      <c r="P21">
        <f>Ny_outer</f>
        <v>6</v>
      </c>
      <c r="Q21" t="s">
        <v>10</v>
      </c>
      <c r="R21" t="s">
        <v>151</v>
      </c>
      <c r="S21">
        <v>1</v>
      </c>
      <c r="T21">
        <v>1</v>
      </c>
      <c r="U21">
        <v>1</v>
      </c>
      <c r="V21" t="s">
        <v>10</v>
      </c>
      <c r="W21" t="s">
        <v>32</v>
      </c>
    </row>
    <row r="22" spans="2:23" x14ac:dyDescent="0.2">
      <c r="B22" t="s">
        <v>144</v>
      </c>
      <c r="C22" t="s">
        <v>9</v>
      </c>
      <c r="D22">
        <v>37</v>
      </c>
      <c r="E22">
        <v>49</v>
      </c>
      <c r="F22">
        <v>48</v>
      </c>
      <c r="G22">
        <v>36</v>
      </c>
      <c r="H22">
        <v>41</v>
      </c>
      <c r="I22">
        <v>53</v>
      </c>
      <c r="J22">
        <v>52</v>
      </c>
      <c r="K22">
        <v>40</v>
      </c>
      <c r="L22" t="s">
        <v>10</v>
      </c>
      <c r="M22" t="s">
        <v>9</v>
      </c>
      <c r="N22">
        <v>10</v>
      </c>
      <c r="O22">
        <f>Ny_outer</f>
        <v>6</v>
      </c>
      <c r="P22">
        <f t="shared" ref="P22:P27" si="5">nz</f>
        <v>6</v>
      </c>
      <c r="Q22" t="s">
        <v>10</v>
      </c>
      <c r="R22" t="s">
        <v>151</v>
      </c>
      <c r="S22">
        <f t="shared" ref="S22:S28" si="6">Gradient_end</f>
        <v>1000</v>
      </c>
      <c r="T22">
        <v>1</v>
      </c>
      <c r="U22">
        <v>1</v>
      </c>
      <c r="V22" t="s">
        <v>10</v>
      </c>
      <c r="W22" t="s">
        <v>33</v>
      </c>
    </row>
    <row r="23" spans="2:23" x14ac:dyDescent="0.2">
      <c r="B23" t="s">
        <v>144</v>
      </c>
      <c r="C23" t="s">
        <v>9</v>
      </c>
      <c r="D23">
        <v>38</v>
      </c>
      <c r="E23">
        <v>50</v>
      </c>
      <c r="F23">
        <v>49</v>
      </c>
      <c r="G23">
        <v>37</v>
      </c>
      <c r="H23">
        <v>42</v>
      </c>
      <c r="I23">
        <v>54</v>
      </c>
      <c r="J23">
        <v>53</v>
      </c>
      <c r="K23">
        <v>41</v>
      </c>
      <c r="L23" t="s">
        <v>10</v>
      </c>
      <c r="M23" t="s">
        <v>9</v>
      </c>
      <c r="N23">
        <v>10</v>
      </c>
      <c r="O23">
        <f>Ny_center</f>
        <v>10</v>
      </c>
      <c r="P23">
        <f t="shared" si="5"/>
        <v>6</v>
      </c>
      <c r="Q23" t="s">
        <v>10</v>
      </c>
      <c r="R23" t="s">
        <v>151</v>
      </c>
      <c r="S23">
        <f t="shared" si="6"/>
        <v>1000</v>
      </c>
      <c r="T23">
        <v>1</v>
      </c>
      <c r="U23">
        <v>1</v>
      </c>
      <c r="V23" t="s">
        <v>10</v>
      </c>
      <c r="W23" t="s">
        <v>34</v>
      </c>
    </row>
    <row r="24" spans="2:23" x14ac:dyDescent="0.2">
      <c r="B24" t="s">
        <v>144</v>
      </c>
      <c r="C24" t="s">
        <v>9</v>
      </c>
      <c r="D24">
        <v>39</v>
      </c>
      <c r="E24">
        <v>51</v>
      </c>
      <c r="F24">
        <v>50</v>
      </c>
      <c r="G24">
        <v>38</v>
      </c>
      <c r="H24">
        <v>43</v>
      </c>
      <c r="I24">
        <v>55</v>
      </c>
      <c r="J24">
        <v>54</v>
      </c>
      <c r="K24">
        <v>42</v>
      </c>
      <c r="L24" t="s">
        <v>10</v>
      </c>
      <c r="M24" t="s">
        <v>9</v>
      </c>
      <c r="N24">
        <v>10</v>
      </c>
      <c r="O24">
        <f>Ny_outer</f>
        <v>6</v>
      </c>
      <c r="P24">
        <f t="shared" si="5"/>
        <v>6</v>
      </c>
      <c r="Q24" t="s">
        <v>10</v>
      </c>
      <c r="R24" t="s">
        <v>151</v>
      </c>
      <c r="S24">
        <f t="shared" si="6"/>
        <v>1000</v>
      </c>
      <c r="T24">
        <v>1</v>
      </c>
      <c r="U24">
        <v>1</v>
      </c>
      <c r="V24" t="s">
        <v>10</v>
      </c>
      <c r="W24" t="s">
        <v>35</v>
      </c>
    </row>
    <row r="25" spans="2:23" x14ac:dyDescent="0.2">
      <c r="B25" t="s">
        <v>144</v>
      </c>
      <c r="C25" t="s">
        <v>9</v>
      </c>
      <c r="D25">
        <v>41</v>
      </c>
      <c r="E25">
        <v>53</v>
      </c>
      <c r="F25">
        <v>52</v>
      </c>
      <c r="G25">
        <v>40</v>
      </c>
      <c r="H25">
        <v>44</v>
      </c>
      <c r="I25">
        <v>56</v>
      </c>
      <c r="J25">
        <v>58</v>
      </c>
      <c r="K25">
        <v>46</v>
      </c>
      <c r="L25" t="s">
        <v>10</v>
      </c>
      <c r="M25" t="s">
        <v>9</v>
      </c>
      <c r="N25">
        <v>10</v>
      </c>
      <c r="O25">
        <f>Ny_outer</f>
        <v>6</v>
      </c>
      <c r="P25">
        <f t="shared" si="5"/>
        <v>6</v>
      </c>
      <c r="Q25" t="s">
        <v>10</v>
      </c>
      <c r="R25" t="s">
        <v>151</v>
      </c>
      <c r="S25">
        <f t="shared" si="6"/>
        <v>1000</v>
      </c>
      <c r="T25">
        <v>1</v>
      </c>
      <c r="U25">
        <v>1</v>
      </c>
      <c r="V25" t="s">
        <v>10</v>
      </c>
      <c r="W25" t="s">
        <v>40</v>
      </c>
    </row>
    <row r="26" spans="2:23" x14ac:dyDescent="0.2">
      <c r="B26" t="s">
        <v>144</v>
      </c>
      <c r="C26" t="s">
        <v>9</v>
      </c>
      <c r="D26">
        <v>42</v>
      </c>
      <c r="E26">
        <v>54</v>
      </c>
      <c r="F26">
        <v>53</v>
      </c>
      <c r="G26">
        <v>41</v>
      </c>
      <c r="H26">
        <v>45</v>
      </c>
      <c r="I26">
        <v>57</v>
      </c>
      <c r="J26">
        <v>56</v>
      </c>
      <c r="K26">
        <v>44</v>
      </c>
      <c r="L26" t="s">
        <v>10</v>
      </c>
      <c r="M26" t="s">
        <v>9</v>
      </c>
      <c r="N26">
        <v>10</v>
      </c>
      <c r="O26">
        <f>Ny_center</f>
        <v>10</v>
      </c>
      <c r="P26">
        <f t="shared" si="5"/>
        <v>6</v>
      </c>
      <c r="Q26" t="s">
        <v>10</v>
      </c>
      <c r="R26" t="s">
        <v>151</v>
      </c>
      <c r="S26">
        <f t="shared" si="6"/>
        <v>1000</v>
      </c>
      <c r="T26">
        <v>1</v>
      </c>
      <c r="U26">
        <v>1</v>
      </c>
      <c r="V26" t="s">
        <v>10</v>
      </c>
      <c r="W26" t="s">
        <v>41</v>
      </c>
    </row>
    <row r="27" spans="2:23" x14ac:dyDescent="0.2">
      <c r="B27" t="s">
        <v>144</v>
      </c>
      <c r="C27" t="s">
        <v>9</v>
      </c>
      <c r="D27">
        <v>43</v>
      </c>
      <c r="E27">
        <v>55</v>
      </c>
      <c r="F27">
        <v>54</v>
      </c>
      <c r="G27">
        <v>42</v>
      </c>
      <c r="H27">
        <v>47</v>
      </c>
      <c r="I27">
        <v>59</v>
      </c>
      <c r="J27">
        <v>57</v>
      </c>
      <c r="K27">
        <v>45</v>
      </c>
      <c r="L27" t="s">
        <v>10</v>
      </c>
      <c r="M27" t="s">
        <v>9</v>
      </c>
      <c r="N27">
        <v>10</v>
      </c>
      <c r="O27">
        <f>Ny_outer</f>
        <v>6</v>
      </c>
      <c r="P27">
        <f t="shared" si="5"/>
        <v>6</v>
      </c>
      <c r="Q27" t="s">
        <v>10</v>
      </c>
      <c r="R27" t="s">
        <v>151</v>
      </c>
      <c r="S27">
        <f t="shared" si="6"/>
        <v>1000</v>
      </c>
      <c r="T27">
        <v>1</v>
      </c>
      <c r="U27">
        <v>1</v>
      </c>
      <c r="V27" t="s">
        <v>10</v>
      </c>
      <c r="W27" t="s">
        <v>42</v>
      </c>
    </row>
    <row r="28" spans="2:23" x14ac:dyDescent="0.2">
      <c r="B28" t="s">
        <v>144</v>
      </c>
      <c r="C28" t="s">
        <v>9</v>
      </c>
      <c r="D28">
        <v>45</v>
      </c>
      <c r="E28">
        <v>57</v>
      </c>
      <c r="F28">
        <v>56</v>
      </c>
      <c r="G28">
        <v>44</v>
      </c>
      <c r="H28">
        <v>47</v>
      </c>
      <c r="I28">
        <v>59</v>
      </c>
      <c r="J28">
        <v>58</v>
      </c>
      <c r="K28">
        <v>46</v>
      </c>
      <c r="L28" t="s">
        <v>10</v>
      </c>
      <c r="M28" t="s">
        <v>9</v>
      </c>
      <c r="N28">
        <v>10</v>
      </c>
      <c r="O28">
        <f>Ny_center</f>
        <v>10</v>
      </c>
      <c r="P28">
        <f>Ny_outer</f>
        <v>6</v>
      </c>
      <c r="Q28" t="s">
        <v>10</v>
      </c>
      <c r="R28" t="s">
        <v>151</v>
      </c>
      <c r="S28">
        <f t="shared" si="6"/>
        <v>1000</v>
      </c>
      <c r="T28">
        <v>1</v>
      </c>
      <c r="U28">
        <v>1</v>
      </c>
      <c r="V28" t="s">
        <v>10</v>
      </c>
      <c r="W28" t="s">
        <v>43</v>
      </c>
    </row>
    <row r="29" spans="2:23" x14ac:dyDescent="0.2">
      <c r="B29" t="s">
        <v>144</v>
      </c>
      <c r="C29" t="s">
        <v>9</v>
      </c>
      <c r="D29">
        <v>8</v>
      </c>
      <c r="E29">
        <v>24</v>
      </c>
      <c r="F29">
        <v>61</v>
      </c>
      <c r="G29">
        <v>60</v>
      </c>
      <c r="H29">
        <v>11</v>
      </c>
      <c r="I29">
        <v>28</v>
      </c>
      <c r="J29">
        <v>63</v>
      </c>
      <c r="K29">
        <v>62</v>
      </c>
      <c r="L29" t="s">
        <v>10</v>
      </c>
      <c r="M29" t="s">
        <v>9</v>
      </c>
      <c r="N29">
        <f>Nx_inj</f>
        <v>10</v>
      </c>
      <c r="O29">
        <f>Nx_inj</f>
        <v>10</v>
      </c>
      <c r="P29">
        <f t="shared" ref="P29:P35" si="7">nz</f>
        <v>6</v>
      </c>
      <c r="Q29" t="s">
        <v>10</v>
      </c>
      <c r="R29" t="s">
        <v>151</v>
      </c>
      <c r="S29">
        <v>1</v>
      </c>
      <c r="T29">
        <v>10</v>
      </c>
      <c r="U29">
        <v>1</v>
      </c>
      <c r="V29" t="s">
        <v>10</v>
      </c>
      <c r="W29" t="s">
        <v>44</v>
      </c>
    </row>
    <row r="30" spans="2:23" x14ac:dyDescent="0.2">
      <c r="B30" t="s">
        <v>144</v>
      </c>
      <c r="C30" t="s">
        <v>9</v>
      </c>
      <c r="D30">
        <v>65</v>
      </c>
      <c r="E30">
        <v>1</v>
      </c>
      <c r="F30">
        <v>0</v>
      </c>
      <c r="G30">
        <v>64</v>
      </c>
      <c r="H30">
        <v>69</v>
      </c>
      <c r="I30">
        <v>2</v>
      </c>
      <c r="J30">
        <v>3</v>
      </c>
      <c r="K30">
        <v>68</v>
      </c>
      <c r="L30" t="s">
        <v>10</v>
      </c>
      <c r="M30" t="s">
        <v>9</v>
      </c>
      <c r="N30">
        <v>10</v>
      </c>
      <c r="O30">
        <f>Ny_outer</f>
        <v>6</v>
      </c>
      <c r="P30">
        <f t="shared" si="7"/>
        <v>6</v>
      </c>
      <c r="Q30" t="s">
        <v>10</v>
      </c>
      <c r="R30" t="s">
        <v>151</v>
      </c>
      <c r="S30">
        <f t="shared" ref="S30:S44" si="8">Gradient_start</f>
        <v>1E-3</v>
      </c>
      <c r="T30">
        <v>1</v>
      </c>
      <c r="U30">
        <v>1</v>
      </c>
      <c r="V30" t="s">
        <v>10</v>
      </c>
      <c r="W30" t="s">
        <v>45</v>
      </c>
    </row>
    <row r="31" spans="2:23" s="9" customFormat="1" x14ac:dyDescent="0.2">
      <c r="B31" s="9" t="s">
        <v>144</v>
      </c>
      <c r="C31" s="9" t="s">
        <v>9</v>
      </c>
      <c r="D31" s="9">
        <v>66</v>
      </c>
      <c r="E31" s="9">
        <v>5</v>
      </c>
      <c r="F31" s="9">
        <v>1</v>
      </c>
      <c r="G31" s="9">
        <v>65</v>
      </c>
      <c r="H31" s="9">
        <v>70</v>
      </c>
      <c r="I31" s="9">
        <v>6</v>
      </c>
      <c r="J31" s="9">
        <v>2</v>
      </c>
      <c r="K31" s="9">
        <v>69</v>
      </c>
      <c r="L31" s="9" t="s">
        <v>10</v>
      </c>
      <c r="M31" s="9" t="s">
        <v>9</v>
      </c>
      <c r="N31" s="9">
        <v>10</v>
      </c>
      <c r="O31" s="9">
        <f>Ny_center</f>
        <v>10</v>
      </c>
      <c r="P31" s="9">
        <f t="shared" si="7"/>
        <v>6</v>
      </c>
      <c r="Q31" s="9" t="s">
        <v>10</v>
      </c>
      <c r="R31" s="9" t="s">
        <v>151</v>
      </c>
      <c r="S31">
        <f t="shared" si="8"/>
        <v>1E-3</v>
      </c>
      <c r="T31" s="9">
        <v>1</v>
      </c>
      <c r="U31" s="9">
        <v>1</v>
      </c>
      <c r="V31" s="9" t="s">
        <v>10</v>
      </c>
      <c r="W31" s="9" t="s">
        <v>46</v>
      </c>
    </row>
    <row r="32" spans="2:23" x14ac:dyDescent="0.2">
      <c r="B32" t="s">
        <v>144</v>
      </c>
      <c r="C32" t="s">
        <v>9</v>
      </c>
      <c r="D32">
        <v>67</v>
      </c>
      <c r="E32">
        <v>4</v>
      </c>
      <c r="F32">
        <v>5</v>
      </c>
      <c r="G32">
        <v>66</v>
      </c>
      <c r="H32">
        <v>71</v>
      </c>
      <c r="I32">
        <v>7</v>
      </c>
      <c r="J32">
        <v>6</v>
      </c>
      <c r="K32">
        <v>70</v>
      </c>
      <c r="L32" t="s">
        <v>10</v>
      </c>
      <c r="M32" t="s">
        <v>9</v>
      </c>
      <c r="N32">
        <v>10</v>
      </c>
      <c r="O32">
        <f>Ny_outer</f>
        <v>6</v>
      </c>
      <c r="P32">
        <f t="shared" si="7"/>
        <v>6</v>
      </c>
      <c r="Q32" t="s">
        <v>10</v>
      </c>
      <c r="R32" t="s">
        <v>151</v>
      </c>
      <c r="S32">
        <f t="shared" si="8"/>
        <v>1E-3</v>
      </c>
      <c r="T32">
        <v>1</v>
      </c>
      <c r="U32">
        <v>1</v>
      </c>
      <c r="V32" t="s">
        <v>10</v>
      </c>
      <c r="W32" t="s">
        <v>47</v>
      </c>
    </row>
    <row r="33" spans="2:23" x14ac:dyDescent="0.2">
      <c r="B33" t="s">
        <v>144</v>
      </c>
      <c r="C33" t="s">
        <v>9</v>
      </c>
      <c r="D33">
        <v>69</v>
      </c>
      <c r="E33">
        <v>2</v>
      </c>
      <c r="F33">
        <v>3</v>
      </c>
      <c r="G33">
        <v>68</v>
      </c>
      <c r="H33">
        <v>72</v>
      </c>
      <c r="I33">
        <v>16</v>
      </c>
      <c r="J33">
        <v>20</v>
      </c>
      <c r="K33">
        <v>74</v>
      </c>
      <c r="L33" t="s">
        <v>10</v>
      </c>
      <c r="M33" t="s">
        <v>9</v>
      </c>
      <c r="N33">
        <v>10</v>
      </c>
      <c r="O33">
        <f>Ny_outer</f>
        <v>6</v>
      </c>
      <c r="P33">
        <f t="shared" si="7"/>
        <v>6</v>
      </c>
      <c r="Q33" t="s">
        <v>10</v>
      </c>
      <c r="R33" t="s">
        <v>151</v>
      </c>
      <c r="S33">
        <f t="shared" si="8"/>
        <v>1E-3</v>
      </c>
      <c r="T33">
        <v>1</v>
      </c>
      <c r="U33">
        <v>1</v>
      </c>
      <c r="V33" t="s">
        <v>10</v>
      </c>
      <c r="W33" t="s">
        <v>48</v>
      </c>
    </row>
    <row r="34" spans="2:23" s="9" customFormat="1" x14ac:dyDescent="0.2">
      <c r="B34" s="9" t="s">
        <v>144</v>
      </c>
      <c r="C34" s="9" t="s">
        <v>9</v>
      </c>
      <c r="D34" s="9">
        <v>70</v>
      </c>
      <c r="E34" s="9">
        <v>6</v>
      </c>
      <c r="F34" s="9">
        <v>2</v>
      </c>
      <c r="G34" s="9">
        <v>69</v>
      </c>
      <c r="H34" s="9">
        <v>73</v>
      </c>
      <c r="I34" s="9">
        <v>17</v>
      </c>
      <c r="J34" s="9">
        <v>16</v>
      </c>
      <c r="K34" s="9">
        <v>72</v>
      </c>
      <c r="L34" s="9" t="s">
        <v>10</v>
      </c>
      <c r="M34" s="9" t="s">
        <v>9</v>
      </c>
      <c r="N34" s="9">
        <v>10</v>
      </c>
      <c r="O34" s="9">
        <f>Ny_center</f>
        <v>10</v>
      </c>
      <c r="P34" s="9">
        <f t="shared" si="7"/>
        <v>6</v>
      </c>
      <c r="Q34" s="9" t="s">
        <v>10</v>
      </c>
      <c r="R34" s="9" t="s">
        <v>151</v>
      </c>
      <c r="S34">
        <f t="shared" si="8"/>
        <v>1E-3</v>
      </c>
      <c r="T34" s="9">
        <v>1</v>
      </c>
      <c r="U34" s="9">
        <v>1</v>
      </c>
      <c r="V34" s="9" t="s">
        <v>10</v>
      </c>
      <c r="W34" s="9" t="s">
        <v>49</v>
      </c>
    </row>
    <row r="35" spans="2:23" x14ac:dyDescent="0.2">
      <c r="B35" t="s">
        <v>144</v>
      </c>
      <c r="C35" t="s">
        <v>9</v>
      </c>
      <c r="D35">
        <v>71</v>
      </c>
      <c r="E35">
        <v>7</v>
      </c>
      <c r="F35">
        <v>6</v>
      </c>
      <c r="G35">
        <v>70</v>
      </c>
      <c r="H35">
        <v>75</v>
      </c>
      <c r="I35">
        <v>21</v>
      </c>
      <c r="J35">
        <v>17</v>
      </c>
      <c r="K35">
        <v>73</v>
      </c>
      <c r="L35" t="s">
        <v>10</v>
      </c>
      <c r="M35" t="s">
        <v>9</v>
      </c>
      <c r="N35">
        <v>10</v>
      </c>
      <c r="O35">
        <f>Ny_outer</f>
        <v>6</v>
      </c>
      <c r="P35">
        <f t="shared" si="7"/>
        <v>6</v>
      </c>
      <c r="Q35" t="s">
        <v>10</v>
      </c>
      <c r="R35" t="s">
        <v>151</v>
      </c>
      <c r="S35">
        <f t="shared" si="8"/>
        <v>1E-3</v>
      </c>
      <c r="T35">
        <v>1</v>
      </c>
      <c r="U35">
        <v>1</v>
      </c>
      <c r="V35" t="s">
        <v>10</v>
      </c>
      <c r="W35" t="s">
        <v>50</v>
      </c>
    </row>
    <row r="36" spans="2:23" x14ac:dyDescent="0.2">
      <c r="B36" t="s">
        <v>144</v>
      </c>
      <c r="C36" t="s">
        <v>9</v>
      </c>
      <c r="D36">
        <v>73</v>
      </c>
      <c r="E36">
        <v>17</v>
      </c>
      <c r="F36">
        <v>16</v>
      </c>
      <c r="G36">
        <v>72</v>
      </c>
      <c r="H36">
        <v>75</v>
      </c>
      <c r="I36">
        <v>21</v>
      </c>
      <c r="J36">
        <v>20</v>
      </c>
      <c r="K36">
        <v>74</v>
      </c>
      <c r="L36" t="s">
        <v>10</v>
      </c>
      <c r="M36" t="s">
        <v>9</v>
      </c>
      <c r="N36">
        <v>10</v>
      </c>
      <c r="O36">
        <f>Ny_center</f>
        <v>10</v>
      </c>
      <c r="P36">
        <f>Ny_outer</f>
        <v>6</v>
      </c>
      <c r="Q36" t="s">
        <v>10</v>
      </c>
      <c r="R36" t="s">
        <v>151</v>
      </c>
      <c r="S36">
        <f t="shared" si="8"/>
        <v>1E-3</v>
      </c>
      <c r="T36">
        <v>1</v>
      </c>
      <c r="U36">
        <v>1</v>
      </c>
      <c r="V36" t="s">
        <v>10</v>
      </c>
      <c r="W36" t="s">
        <v>51</v>
      </c>
    </row>
    <row r="38" spans="2:23" x14ac:dyDescent="0.2">
      <c r="B38" t="s">
        <v>144</v>
      </c>
      <c r="C38" t="s">
        <v>9</v>
      </c>
      <c r="D38">
        <v>77</v>
      </c>
      <c r="E38">
        <v>36</v>
      </c>
      <c r="F38">
        <v>88</v>
      </c>
      <c r="G38">
        <v>76</v>
      </c>
      <c r="H38">
        <v>81</v>
      </c>
      <c r="I38">
        <v>40</v>
      </c>
      <c r="J38">
        <v>90</v>
      </c>
      <c r="K38">
        <v>80</v>
      </c>
      <c r="L38" t="s">
        <v>10</v>
      </c>
      <c r="M38" t="s">
        <v>9</v>
      </c>
      <c r="N38">
        <v>10</v>
      </c>
      <c r="O38">
        <f t="shared" ref="O38:O44" si="9">Ny_center</f>
        <v>10</v>
      </c>
      <c r="P38">
        <f t="shared" ref="P38:P44" si="10">Ny_outer</f>
        <v>6</v>
      </c>
      <c r="Q38" t="s">
        <v>10</v>
      </c>
      <c r="R38" t="s">
        <v>151</v>
      </c>
      <c r="S38">
        <f t="shared" si="8"/>
        <v>1E-3</v>
      </c>
      <c r="T38">
        <v>1</v>
      </c>
      <c r="U38">
        <v>1</v>
      </c>
      <c r="V38" t="s">
        <v>10</v>
      </c>
      <c r="W38" t="s">
        <v>52</v>
      </c>
    </row>
    <row r="39" spans="2:23" x14ac:dyDescent="0.2">
      <c r="B39" t="s">
        <v>144</v>
      </c>
      <c r="C39" t="s">
        <v>9</v>
      </c>
      <c r="D39">
        <v>81</v>
      </c>
      <c r="E39">
        <v>40</v>
      </c>
      <c r="F39">
        <v>90</v>
      </c>
      <c r="G39">
        <v>80</v>
      </c>
      <c r="H39">
        <v>84</v>
      </c>
      <c r="I39">
        <v>46</v>
      </c>
      <c r="J39">
        <v>92</v>
      </c>
      <c r="K39">
        <v>86</v>
      </c>
      <c r="L39" t="s">
        <v>10</v>
      </c>
      <c r="M39" t="s">
        <v>9</v>
      </c>
      <c r="N39">
        <v>10</v>
      </c>
      <c r="O39">
        <f t="shared" si="9"/>
        <v>10</v>
      </c>
      <c r="P39">
        <f t="shared" si="10"/>
        <v>6</v>
      </c>
      <c r="Q39" t="s">
        <v>10</v>
      </c>
      <c r="R39" t="s">
        <v>151</v>
      </c>
      <c r="S39">
        <f t="shared" si="8"/>
        <v>1E-3</v>
      </c>
      <c r="T39">
        <v>1</v>
      </c>
      <c r="U39">
        <v>1</v>
      </c>
      <c r="V39" t="s">
        <v>10</v>
      </c>
      <c r="W39" t="s">
        <v>52</v>
      </c>
    </row>
    <row r="40" spans="2:23" x14ac:dyDescent="0.2">
      <c r="B40" t="s">
        <v>144</v>
      </c>
      <c r="C40" t="s">
        <v>9</v>
      </c>
      <c r="D40">
        <v>79</v>
      </c>
      <c r="E40">
        <v>89</v>
      </c>
      <c r="F40">
        <v>39</v>
      </c>
      <c r="G40">
        <v>78</v>
      </c>
      <c r="H40">
        <v>83</v>
      </c>
      <c r="I40">
        <v>91</v>
      </c>
      <c r="J40">
        <v>43</v>
      </c>
      <c r="K40">
        <v>82</v>
      </c>
      <c r="L40" t="s">
        <v>10</v>
      </c>
      <c r="M40" t="s">
        <v>9</v>
      </c>
      <c r="N40">
        <v>10</v>
      </c>
      <c r="O40">
        <f t="shared" si="9"/>
        <v>10</v>
      </c>
      <c r="P40">
        <f t="shared" si="10"/>
        <v>6</v>
      </c>
      <c r="Q40" t="s">
        <v>10</v>
      </c>
      <c r="R40" t="s">
        <v>151</v>
      </c>
      <c r="S40">
        <f t="shared" si="8"/>
        <v>1E-3</v>
      </c>
      <c r="T40">
        <v>1</v>
      </c>
      <c r="U40">
        <v>1</v>
      </c>
      <c r="V40" t="s">
        <v>10</v>
      </c>
      <c r="W40" t="s">
        <v>52</v>
      </c>
    </row>
    <row r="41" spans="2:23" x14ac:dyDescent="0.2">
      <c r="B41" t="s">
        <v>144</v>
      </c>
      <c r="C41" t="s">
        <v>9</v>
      </c>
      <c r="D41">
        <v>83</v>
      </c>
      <c r="E41">
        <v>91</v>
      </c>
      <c r="F41">
        <v>43</v>
      </c>
      <c r="G41">
        <v>82</v>
      </c>
      <c r="H41">
        <v>87</v>
      </c>
      <c r="I41">
        <v>93</v>
      </c>
      <c r="J41">
        <v>47</v>
      </c>
      <c r="K41">
        <v>85</v>
      </c>
      <c r="L41" t="s">
        <v>10</v>
      </c>
      <c r="M41" t="s">
        <v>9</v>
      </c>
      <c r="N41">
        <v>10</v>
      </c>
      <c r="O41">
        <f t="shared" si="9"/>
        <v>10</v>
      </c>
      <c r="P41">
        <f t="shared" si="10"/>
        <v>6</v>
      </c>
      <c r="Q41" t="s">
        <v>10</v>
      </c>
      <c r="R41" t="s">
        <v>151</v>
      </c>
      <c r="S41">
        <f t="shared" si="8"/>
        <v>1E-3</v>
      </c>
      <c r="T41">
        <v>1</v>
      </c>
      <c r="U41">
        <v>1</v>
      </c>
      <c r="V41" t="s">
        <v>10</v>
      </c>
      <c r="W41" t="s">
        <v>52</v>
      </c>
    </row>
    <row r="42" spans="2:23" x14ac:dyDescent="0.2">
      <c r="B42" t="s">
        <v>144</v>
      </c>
      <c r="C42" t="s">
        <v>9</v>
      </c>
      <c r="D42">
        <v>85</v>
      </c>
      <c r="E42">
        <v>47</v>
      </c>
      <c r="F42">
        <v>46</v>
      </c>
      <c r="G42">
        <v>84</v>
      </c>
      <c r="H42">
        <v>87</v>
      </c>
      <c r="I42">
        <v>93</v>
      </c>
      <c r="J42">
        <v>92</v>
      </c>
      <c r="K42">
        <v>86</v>
      </c>
      <c r="L42" t="s">
        <v>10</v>
      </c>
      <c r="M42" t="s">
        <v>9</v>
      </c>
      <c r="N42">
        <v>10</v>
      </c>
      <c r="O42">
        <f t="shared" si="9"/>
        <v>10</v>
      </c>
      <c r="P42">
        <f t="shared" si="10"/>
        <v>6</v>
      </c>
      <c r="Q42" t="s">
        <v>10</v>
      </c>
      <c r="R42" t="s">
        <v>151</v>
      </c>
      <c r="S42">
        <f t="shared" si="8"/>
        <v>1E-3</v>
      </c>
      <c r="T42">
        <v>1</v>
      </c>
      <c r="U42">
        <v>1</v>
      </c>
      <c r="V42" t="s">
        <v>10</v>
      </c>
      <c r="W42" t="s">
        <v>52</v>
      </c>
    </row>
    <row r="43" spans="2:23" x14ac:dyDescent="0.2">
      <c r="B43" t="s">
        <v>144</v>
      </c>
      <c r="C43" t="s">
        <v>9</v>
      </c>
      <c r="D43">
        <v>36</v>
      </c>
      <c r="E43">
        <v>48</v>
      </c>
      <c r="F43">
        <v>94</v>
      </c>
      <c r="G43">
        <v>88</v>
      </c>
      <c r="H43">
        <v>40</v>
      </c>
      <c r="I43">
        <v>52</v>
      </c>
      <c r="J43">
        <v>96</v>
      </c>
      <c r="K43">
        <v>90</v>
      </c>
      <c r="L43" t="s">
        <v>10</v>
      </c>
      <c r="M43" t="s">
        <v>9</v>
      </c>
      <c r="N43">
        <v>10</v>
      </c>
      <c r="O43">
        <f t="shared" si="9"/>
        <v>10</v>
      </c>
      <c r="P43">
        <f t="shared" si="10"/>
        <v>6</v>
      </c>
      <c r="Q43" t="s">
        <v>10</v>
      </c>
      <c r="R43" t="s">
        <v>151</v>
      </c>
      <c r="S43">
        <f t="shared" si="8"/>
        <v>1E-3</v>
      </c>
      <c r="T43">
        <v>1</v>
      </c>
      <c r="U43">
        <v>1</v>
      </c>
      <c r="V43" t="s">
        <v>10</v>
      </c>
      <c r="W43" t="s">
        <v>52</v>
      </c>
    </row>
    <row r="44" spans="2:23" x14ac:dyDescent="0.2">
      <c r="B44" t="s">
        <v>144</v>
      </c>
      <c r="C44" t="s">
        <v>9</v>
      </c>
      <c r="D44">
        <v>40</v>
      </c>
      <c r="E44">
        <v>52</v>
      </c>
      <c r="F44">
        <v>96</v>
      </c>
      <c r="G44">
        <v>90</v>
      </c>
      <c r="H44">
        <v>46</v>
      </c>
      <c r="I44">
        <v>58</v>
      </c>
      <c r="J44">
        <v>98</v>
      </c>
      <c r="K44">
        <v>92</v>
      </c>
      <c r="L44" t="s">
        <v>10</v>
      </c>
      <c r="M44" t="s">
        <v>9</v>
      </c>
      <c r="N44">
        <v>10</v>
      </c>
      <c r="O44">
        <f t="shared" si="9"/>
        <v>10</v>
      </c>
      <c r="P44">
        <f t="shared" si="10"/>
        <v>6</v>
      </c>
      <c r="Q44" t="s">
        <v>10</v>
      </c>
      <c r="R44" t="s">
        <v>151</v>
      </c>
      <c r="S44">
        <f t="shared" si="8"/>
        <v>1E-3</v>
      </c>
      <c r="T44">
        <v>1</v>
      </c>
      <c r="U44">
        <v>1</v>
      </c>
      <c r="V44" t="s">
        <v>10</v>
      </c>
      <c r="W44" t="s">
        <v>52</v>
      </c>
    </row>
    <row r="45" spans="2:23" x14ac:dyDescent="0.2">
      <c r="D45">
        <v>89</v>
      </c>
      <c r="E45">
        <v>95</v>
      </c>
      <c r="F45">
        <v>51</v>
      </c>
      <c r="G45">
        <v>39</v>
      </c>
      <c r="H45">
        <v>91</v>
      </c>
      <c r="I45">
        <v>97</v>
      </c>
      <c r="J45">
        <v>55</v>
      </c>
      <c r="K45">
        <v>43</v>
      </c>
    </row>
    <row r="46" spans="2:23" x14ac:dyDescent="0.2">
      <c r="D46">
        <v>91</v>
      </c>
      <c r="E46">
        <v>97</v>
      </c>
      <c r="F46">
        <v>55</v>
      </c>
      <c r="G46">
        <v>43</v>
      </c>
      <c r="H46">
        <v>93</v>
      </c>
      <c r="I46">
        <v>99</v>
      </c>
      <c r="J46">
        <v>59</v>
      </c>
      <c r="K46">
        <v>47</v>
      </c>
    </row>
    <row r="47" spans="2:23" x14ac:dyDescent="0.2">
      <c r="D47">
        <v>47</v>
      </c>
      <c r="E47">
        <v>59</v>
      </c>
      <c r="F47">
        <v>58</v>
      </c>
      <c r="G47">
        <v>46</v>
      </c>
      <c r="H47">
        <v>93</v>
      </c>
      <c r="I47">
        <v>99</v>
      </c>
      <c r="J47">
        <v>98</v>
      </c>
      <c r="K47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0E47-649A-6245-A6F3-113954B1F4BD}">
  <dimension ref="A1:H39"/>
  <sheetViews>
    <sheetView workbookViewId="0">
      <selection activeCell="E26" sqref="E26"/>
    </sheetView>
  </sheetViews>
  <sheetFormatPr baseColWidth="10" defaultRowHeight="16" x14ac:dyDescent="0.2"/>
  <cols>
    <col min="4" max="4" width="2.1640625" customWidth="1"/>
    <col min="8" max="8" width="1.83203125" customWidth="1"/>
  </cols>
  <sheetData>
    <row r="1" spans="1:8" x14ac:dyDescent="0.2">
      <c r="A1" s="4" t="s">
        <v>118</v>
      </c>
      <c r="B1" s="4">
        <v>74</v>
      </c>
      <c r="C1" s="4">
        <v>68</v>
      </c>
      <c r="D1" s="4" t="s">
        <v>9</v>
      </c>
      <c r="E1" s="4">
        <f>position_inlet</f>
        <v>-2.25</v>
      </c>
      <c r="F1" s="4">
        <f>arc_inlet_y</f>
        <v>0.48641546028061239</v>
      </c>
      <c r="G1" s="4">
        <f>arc_inlet_z</f>
        <v>-0.18384776310850243</v>
      </c>
      <c r="H1" t="s">
        <v>10</v>
      </c>
    </row>
    <row r="2" spans="1:8" x14ac:dyDescent="0.2">
      <c r="A2" s="4" t="s">
        <v>118</v>
      </c>
      <c r="B2" s="4">
        <v>75</v>
      </c>
      <c r="C2" s="4">
        <v>74</v>
      </c>
      <c r="D2" s="4" t="s">
        <v>9</v>
      </c>
      <c r="E2" s="4">
        <f>position_inlet</f>
        <v>-2.25</v>
      </c>
      <c r="F2" s="4">
        <v>0</v>
      </c>
      <c r="G2" s="4">
        <f>-radius_inlet</f>
        <v>-0.52</v>
      </c>
      <c r="H2" t="s">
        <v>10</v>
      </c>
    </row>
    <row r="3" spans="1:8" x14ac:dyDescent="0.2">
      <c r="A3" s="4" t="s">
        <v>118</v>
      </c>
      <c r="B3" s="4">
        <v>71</v>
      </c>
      <c r="C3" s="4">
        <v>75</v>
      </c>
      <c r="D3" s="4" t="s">
        <v>9</v>
      </c>
      <c r="E3" s="4">
        <f>position_inlet</f>
        <v>-2.25</v>
      </c>
      <c r="F3" s="4">
        <f>-arc_inlet_y</f>
        <v>-0.48641546028061239</v>
      </c>
      <c r="G3" s="4">
        <f>arc_inlet_z</f>
        <v>-0.18384776310850243</v>
      </c>
      <c r="H3" t="s">
        <v>10</v>
      </c>
    </row>
    <row r="4" spans="1:8" x14ac:dyDescent="0.2">
      <c r="A4" s="4" t="s">
        <v>118</v>
      </c>
      <c r="B4" s="4">
        <v>67</v>
      </c>
      <c r="C4" s="4">
        <v>71</v>
      </c>
      <c r="D4" s="4" t="s">
        <v>9</v>
      </c>
      <c r="E4" s="4">
        <f>position_inlet</f>
        <v>-2.25</v>
      </c>
      <c r="F4" s="6">
        <f>-arc_inle_inj_y</f>
        <v>-0.51961524227066325</v>
      </c>
      <c r="G4" s="6">
        <f>arc_inle_inj_z</f>
        <v>-2.0000000000000004E-2</v>
      </c>
      <c r="H4" t="s">
        <v>10</v>
      </c>
    </row>
    <row r="5" spans="1:8" x14ac:dyDescent="0.2">
      <c r="A5" s="4" t="s">
        <v>118</v>
      </c>
      <c r="B5" s="4">
        <v>64</v>
      </c>
      <c r="C5" s="4">
        <v>68</v>
      </c>
      <c r="D5" s="4" t="s">
        <v>9</v>
      </c>
      <c r="E5" s="4">
        <f>position_inlet</f>
        <v>-2.25</v>
      </c>
      <c r="F5" s="4">
        <f>arc_inle_inj_y</f>
        <v>0.51961524227066325</v>
      </c>
      <c r="G5" s="4">
        <f>arc_inle_inj_z</f>
        <v>-2.0000000000000004E-2</v>
      </c>
      <c r="H5" t="s">
        <v>10</v>
      </c>
    </row>
    <row r="6" spans="1:8" x14ac:dyDescent="0.2">
      <c r="A6" s="4" t="s">
        <v>118</v>
      </c>
      <c r="B6" s="4">
        <v>20</v>
      </c>
      <c r="C6" s="4">
        <v>3</v>
      </c>
      <c r="D6" s="4" t="s">
        <v>9</v>
      </c>
      <c r="E6" s="4">
        <v>0</v>
      </c>
      <c r="F6" s="4">
        <f>arc_throat_y</f>
        <v>1.2160386507015309E-2</v>
      </c>
      <c r="G6" s="4">
        <f>arc_throat_z</f>
        <v>-4.59619407771256E-3</v>
      </c>
      <c r="H6" t="s">
        <v>10</v>
      </c>
    </row>
    <row r="7" spans="1:8" x14ac:dyDescent="0.2">
      <c r="A7" s="4" t="s">
        <v>118</v>
      </c>
      <c r="B7" s="4">
        <v>21</v>
      </c>
      <c r="C7" s="4">
        <v>20</v>
      </c>
      <c r="D7" s="4" t="s">
        <v>9</v>
      </c>
      <c r="E7" s="4">
        <v>0</v>
      </c>
      <c r="F7" s="4">
        <v>0</v>
      </c>
      <c r="G7" s="4">
        <f>-radius_throat</f>
        <v>-1.2999999999999999E-2</v>
      </c>
      <c r="H7" t="s">
        <v>10</v>
      </c>
    </row>
    <row r="8" spans="1:8" x14ac:dyDescent="0.2">
      <c r="A8" s="4" t="s">
        <v>118</v>
      </c>
      <c r="B8" s="4">
        <v>21</v>
      </c>
      <c r="C8" s="4">
        <v>7</v>
      </c>
      <c r="D8" s="4" t="s">
        <v>9</v>
      </c>
      <c r="E8" s="4">
        <v>0</v>
      </c>
      <c r="F8" s="4">
        <f>-arc_throat_y</f>
        <v>-1.2160386507015309E-2</v>
      </c>
      <c r="G8" s="4">
        <f>arc_throat_z</f>
        <v>-4.59619407771256E-3</v>
      </c>
      <c r="H8" t="s">
        <v>10</v>
      </c>
    </row>
    <row r="9" spans="1:8" x14ac:dyDescent="0.2">
      <c r="A9" s="4" t="s">
        <v>118</v>
      </c>
      <c r="B9" s="4">
        <v>7</v>
      </c>
      <c r="C9" s="4">
        <v>4</v>
      </c>
      <c r="D9" s="4" t="s">
        <v>9</v>
      </c>
      <c r="E9" s="4">
        <v>0</v>
      </c>
      <c r="F9" s="6">
        <f>-arc_throat_inj_y</f>
        <v>-1.299038105676658E-2</v>
      </c>
      <c r="G9" s="6">
        <f>arc_throat_inj_z</f>
        <v>-5.0000000000000001E-4</v>
      </c>
      <c r="H9" t="s">
        <v>10</v>
      </c>
    </row>
    <row r="10" spans="1:8" x14ac:dyDescent="0.2">
      <c r="A10" s="4" t="s">
        <v>118</v>
      </c>
      <c r="B10" s="4">
        <v>0</v>
      </c>
      <c r="C10" s="4">
        <v>3</v>
      </c>
      <c r="D10" s="4" t="s">
        <v>9</v>
      </c>
      <c r="E10" s="4">
        <v>0</v>
      </c>
      <c r="F10" s="4">
        <f>arc_throat_inj_y</f>
        <v>1.299038105676658E-2</v>
      </c>
      <c r="G10" s="4">
        <f>arc_throat_inj_z</f>
        <v>-5.0000000000000001E-4</v>
      </c>
      <c r="H10" t="s">
        <v>10</v>
      </c>
    </row>
    <row r="11" spans="1:8" x14ac:dyDescent="0.2">
      <c r="A11" s="4" t="s">
        <v>118</v>
      </c>
      <c r="B11" s="4">
        <v>22</v>
      </c>
      <c r="C11" s="4">
        <v>11</v>
      </c>
      <c r="D11" s="4" t="s">
        <v>9</v>
      </c>
      <c r="E11" s="4">
        <f>pos_inj</f>
        <v>7.1999999999999995E-2</v>
      </c>
      <c r="F11" s="4">
        <f>arc_inj_start_y</f>
        <v>2.3385358667337135E-2</v>
      </c>
      <c r="G11" s="4">
        <f>arc_inj_start_z</f>
        <v>-8.8388347648318474E-3</v>
      </c>
      <c r="H11" s="2" t="s">
        <v>10</v>
      </c>
    </row>
    <row r="12" spans="1:8" x14ac:dyDescent="0.2">
      <c r="A12" s="4" t="s">
        <v>118</v>
      </c>
      <c r="B12" s="4">
        <v>23</v>
      </c>
      <c r="C12" s="4">
        <v>22</v>
      </c>
      <c r="D12" s="4" t="s">
        <v>9</v>
      </c>
      <c r="E12" s="4">
        <f>pos_inj</f>
        <v>7.1999999999999995E-2</v>
      </c>
      <c r="F12" s="4">
        <v>0</v>
      </c>
      <c r="G12" s="4">
        <f>-radius_inj_start</f>
        <v>-2.5000000000000001E-2</v>
      </c>
      <c r="H12" s="2" t="s">
        <v>10</v>
      </c>
    </row>
    <row r="13" spans="1:8" x14ac:dyDescent="0.2">
      <c r="A13" s="4" t="s">
        <v>118</v>
      </c>
      <c r="B13" s="4">
        <v>23</v>
      </c>
      <c r="C13" s="4">
        <v>15</v>
      </c>
      <c r="D13" s="4" t="s">
        <v>9</v>
      </c>
      <c r="E13" s="4">
        <f>pos_inj</f>
        <v>7.1999999999999995E-2</v>
      </c>
      <c r="F13" s="4">
        <f>-arc_inj_start_y</f>
        <v>-2.3385358667337135E-2</v>
      </c>
      <c r="G13" s="4">
        <f>arc_inj_start_z</f>
        <v>-8.8388347648318474E-3</v>
      </c>
      <c r="H13" s="2" t="s">
        <v>10</v>
      </c>
    </row>
    <row r="14" spans="1:8" x14ac:dyDescent="0.2">
      <c r="A14" s="4" t="s">
        <v>118</v>
      </c>
      <c r="B14" s="4">
        <v>18</v>
      </c>
      <c r="C14" s="4">
        <v>12</v>
      </c>
      <c r="D14" s="4" t="s">
        <v>9</v>
      </c>
      <c r="E14" s="4">
        <f>pos_inj</f>
        <v>7.1999999999999995E-2</v>
      </c>
      <c r="F14" s="6">
        <f>-arc_inj_start_inj_y</f>
        <v>-2.4994999499899976E-2</v>
      </c>
      <c r="G14" s="6">
        <f>arc_inj_start_inj_z</f>
        <v>-5.0000000000000001E-4</v>
      </c>
      <c r="H14" s="2" t="s">
        <v>10</v>
      </c>
    </row>
    <row r="15" spans="1:8" x14ac:dyDescent="0.2">
      <c r="A15" s="4" t="s">
        <v>118</v>
      </c>
      <c r="B15" s="4">
        <v>8</v>
      </c>
      <c r="C15" s="4">
        <v>11</v>
      </c>
      <c r="D15" s="4" t="s">
        <v>9</v>
      </c>
      <c r="E15" s="4">
        <f>pos_inj</f>
        <v>7.1999999999999995E-2</v>
      </c>
      <c r="F15" s="4">
        <f>arc_inj_start_inj_y</f>
        <v>2.4994999499899976E-2</v>
      </c>
      <c r="G15" s="4">
        <f>arc_inj_start_inj_z</f>
        <v>-5.0000000000000001E-4</v>
      </c>
      <c r="H15" s="2" t="s">
        <v>10</v>
      </c>
    </row>
    <row r="16" spans="1:8" x14ac:dyDescent="0.2">
      <c r="A16" s="2" t="s">
        <v>118</v>
      </c>
      <c r="B16" s="4">
        <v>32</v>
      </c>
      <c r="C16" s="4">
        <v>28</v>
      </c>
      <c r="D16" t="s">
        <v>9</v>
      </c>
      <c r="E16" s="4">
        <f>pos_inj_back</f>
        <v>7.3999999999999996E-2</v>
      </c>
      <c r="F16" s="4">
        <f>arc_inj_end_y</f>
        <v>2.3541261058452712E-2</v>
      </c>
      <c r="G16" s="4">
        <f>arc_inj_end_z</f>
        <v>-8.8977603299307314E-3</v>
      </c>
      <c r="H16" t="s">
        <v>10</v>
      </c>
    </row>
    <row r="17" spans="1:8" x14ac:dyDescent="0.2">
      <c r="A17" s="2" t="s">
        <v>118</v>
      </c>
      <c r="B17" s="4">
        <v>33</v>
      </c>
      <c r="C17" s="4">
        <v>32</v>
      </c>
      <c r="D17" t="s">
        <v>9</v>
      </c>
      <c r="E17" s="4">
        <f>pos_inj_back</f>
        <v>7.3999999999999996E-2</v>
      </c>
      <c r="F17" s="4">
        <v>0</v>
      </c>
      <c r="G17" s="4">
        <f>-radius_inj_end</f>
        <v>-2.5166666666666667E-2</v>
      </c>
      <c r="H17" t="s">
        <v>10</v>
      </c>
    </row>
    <row r="18" spans="1:8" x14ac:dyDescent="0.2">
      <c r="A18" s="2" t="s">
        <v>118</v>
      </c>
      <c r="B18" s="4">
        <v>33</v>
      </c>
      <c r="C18" s="4">
        <v>31</v>
      </c>
      <c r="D18" t="s">
        <v>9</v>
      </c>
      <c r="E18" s="4">
        <f>pos_inj_back</f>
        <v>7.3999999999999996E-2</v>
      </c>
      <c r="F18" s="4">
        <f>-arc_inj_end_y</f>
        <v>-2.3541261058452712E-2</v>
      </c>
      <c r="G18" s="4">
        <f>arc_inj_end_z</f>
        <v>-8.8977603299307314E-3</v>
      </c>
      <c r="H18" t="s">
        <v>10</v>
      </c>
    </row>
    <row r="19" spans="1:8" x14ac:dyDescent="0.2">
      <c r="A19" s="2" t="s">
        <v>118</v>
      </c>
      <c r="B19" s="4">
        <v>31</v>
      </c>
      <c r="C19" s="4">
        <v>27</v>
      </c>
      <c r="D19" t="s">
        <v>9</v>
      </c>
      <c r="E19" s="4">
        <f>pos_inj_back</f>
        <v>7.3999999999999996E-2</v>
      </c>
      <c r="F19" s="6">
        <f>-arc_inj_end_inj_y</f>
        <v>-2.5161699289020824E-2</v>
      </c>
      <c r="G19" s="6">
        <f>arc_inj_end_inj_z</f>
        <v>-5.0000000000000001E-4</v>
      </c>
      <c r="H19" t="s">
        <v>10</v>
      </c>
    </row>
    <row r="20" spans="1:8" x14ac:dyDescent="0.2">
      <c r="A20" s="2" t="s">
        <v>118</v>
      </c>
      <c r="B20" s="4">
        <v>28</v>
      </c>
      <c r="C20" s="4">
        <v>24</v>
      </c>
      <c r="D20" t="s">
        <v>9</v>
      </c>
      <c r="E20" s="4">
        <f>pos_inj_back</f>
        <v>7.3999999999999996E-2</v>
      </c>
      <c r="F20" s="4">
        <f>arc_inj_end_inj_y</f>
        <v>2.5161699289020824E-2</v>
      </c>
      <c r="G20" s="4">
        <f>arc_inj_end_inj_z</f>
        <v>-5.0000000000000001E-4</v>
      </c>
      <c r="H20" t="s">
        <v>10</v>
      </c>
    </row>
    <row r="21" spans="1:8" x14ac:dyDescent="0.2">
      <c r="A21" s="4" t="s">
        <v>118</v>
      </c>
      <c r="B21" s="4">
        <v>46</v>
      </c>
      <c r="C21" s="4">
        <v>40</v>
      </c>
      <c r="D21" s="4" t="s">
        <v>9</v>
      </c>
      <c r="E21" s="4">
        <f>pos_noz_end</f>
        <v>0.09</v>
      </c>
      <c r="F21" s="4">
        <f>arc_noz_y</f>
        <v>2.6191601707417592E-2</v>
      </c>
      <c r="G21" s="4">
        <f>arc_noz_z</f>
        <v>-9.899494936611665E-3</v>
      </c>
      <c r="H21" t="s">
        <v>10</v>
      </c>
    </row>
    <row r="22" spans="1:8" x14ac:dyDescent="0.2">
      <c r="A22" s="4" t="s">
        <v>118</v>
      </c>
      <c r="B22" s="4">
        <v>47</v>
      </c>
      <c r="C22" s="4">
        <v>46</v>
      </c>
      <c r="D22" s="4" t="s">
        <v>9</v>
      </c>
      <c r="E22" s="4">
        <f>pos_noz_end</f>
        <v>0.09</v>
      </c>
      <c r="F22" s="4">
        <v>0</v>
      </c>
      <c r="G22" s="4">
        <f>-radius_noz_end</f>
        <v>-2.8000000000000001E-2</v>
      </c>
      <c r="H22" t="s">
        <v>10</v>
      </c>
    </row>
    <row r="23" spans="1:8" x14ac:dyDescent="0.2">
      <c r="A23" s="4" t="s">
        <v>118</v>
      </c>
      <c r="B23" s="4">
        <v>47</v>
      </c>
      <c r="C23" s="4">
        <v>43</v>
      </c>
      <c r="D23" s="4" t="s">
        <v>9</v>
      </c>
      <c r="E23" s="4">
        <f>pos_noz_end</f>
        <v>0.09</v>
      </c>
      <c r="F23" s="4">
        <f>-arc_noz_y</f>
        <v>-2.6191601707417592E-2</v>
      </c>
      <c r="G23" s="4">
        <f>arc_noz_z</f>
        <v>-9.899494936611665E-3</v>
      </c>
      <c r="H23" t="s">
        <v>10</v>
      </c>
    </row>
    <row r="24" spans="1:8" x14ac:dyDescent="0.2">
      <c r="A24" s="4" t="s">
        <v>118</v>
      </c>
      <c r="B24" s="4">
        <v>43</v>
      </c>
      <c r="C24" s="4">
        <v>39</v>
      </c>
      <c r="D24" s="4" t="s">
        <v>9</v>
      </c>
      <c r="E24" s="4">
        <f>pos_noz_end</f>
        <v>0.09</v>
      </c>
      <c r="F24" s="6">
        <f>-arc_inj_noz_y</f>
        <v>-2.7994399439887973E-2</v>
      </c>
      <c r="G24" s="6">
        <f>arc_inj_noz_z</f>
        <v>-5.5999999999999995E-4</v>
      </c>
      <c r="H24" t="s">
        <v>10</v>
      </c>
    </row>
    <row r="25" spans="1:8" x14ac:dyDescent="0.2">
      <c r="A25" s="4" t="s">
        <v>118</v>
      </c>
      <c r="B25" s="4">
        <v>40</v>
      </c>
      <c r="C25" s="4">
        <v>36</v>
      </c>
      <c r="D25" s="4" t="s">
        <v>9</v>
      </c>
      <c r="E25" s="4">
        <f>pos_noz_end</f>
        <v>0.09</v>
      </c>
      <c r="F25" s="4">
        <f>arc_inj_noz_y</f>
        <v>2.7994399439887973E-2</v>
      </c>
      <c r="G25" s="4">
        <f>arc_inj_noz_z</f>
        <v>-5.5999999999999995E-4</v>
      </c>
      <c r="H25" t="s">
        <v>10</v>
      </c>
    </row>
    <row r="26" spans="1:8" x14ac:dyDescent="0.2">
      <c r="A26" s="2" t="s">
        <v>118</v>
      </c>
      <c r="B26" s="2">
        <v>58</v>
      </c>
      <c r="C26" s="2">
        <v>52</v>
      </c>
      <c r="D26" t="s">
        <v>9</v>
      </c>
      <c r="E26" s="4">
        <f>pos_outlet</f>
        <v>2.25</v>
      </c>
      <c r="F26" s="4">
        <f>arc_out_y</f>
        <v>0.48641546028061239</v>
      </c>
      <c r="G26" s="4">
        <f>arc_out_z</f>
        <v>-0.18384776310850243</v>
      </c>
      <c r="H26" t="s">
        <v>10</v>
      </c>
    </row>
    <row r="27" spans="1:8" x14ac:dyDescent="0.2">
      <c r="A27" s="2" t="s">
        <v>118</v>
      </c>
      <c r="B27" s="2">
        <v>59</v>
      </c>
      <c r="C27" s="2">
        <v>58</v>
      </c>
      <c r="D27" t="s">
        <v>9</v>
      </c>
      <c r="E27" s="4">
        <f>pos_outlet</f>
        <v>2.25</v>
      </c>
      <c r="F27" s="4">
        <v>0</v>
      </c>
      <c r="G27" s="4">
        <f>-radius_outlet</f>
        <v>-0.52</v>
      </c>
      <c r="H27" t="s">
        <v>10</v>
      </c>
    </row>
    <row r="28" spans="1:8" x14ac:dyDescent="0.2">
      <c r="A28" s="2" t="s">
        <v>118</v>
      </c>
      <c r="B28" s="2">
        <v>59</v>
      </c>
      <c r="C28" s="2">
        <v>55</v>
      </c>
      <c r="D28" t="s">
        <v>9</v>
      </c>
      <c r="E28" s="4">
        <f>pos_outlet</f>
        <v>2.25</v>
      </c>
      <c r="F28" s="4">
        <f>-arc_out_y</f>
        <v>-0.48641546028061239</v>
      </c>
      <c r="G28" s="4">
        <f>arc_out_z</f>
        <v>-0.18384776310850243</v>
      </c>
      <c r="H28" t="s">
        <v>10</v>
      </c>
    </row>
    <row r="29" spans="1:8" x14ac:dyDescent="0.2">
      <c r="A29" s="2" t="s">
        <v>118</v>
      </c>
      <c r="B29" s="2">
        <v>55</v>
      </c>
      <c r="C29" s="2">
        <v>51</v>
      </c>
      <c r="D29" t="s">
        <v>9</v>
      </c>
      <c r="E29" s="4">
        <f>pos_outlet</f>
        <v>2.25</v>
      </c>
      <c r="F29" s="6">
        <f>-arc_inj_out_y</f>
        <v>-0.51989598959791949</v>
      </c>
      <c r="G29" s="6">
        <f>arc_inj_out_z</f>
        <v>-1.0400000000000001E-2</v>
      </c>
      <c r="H29" t="s">
        <v>10</v>
      </c>
    </row>
    <row r="30" spans="1:8" x14ac:dyDescent="0.2">
      <c r="A30" s="2" t="s">
        <v>118</v>
      </c>
      <c r="B30" s="2">
        <v>52</v>
      </c>
      <c r="C30" s="2">
        <v>48</v>
      </c>
      <c r="D30" t="s">
        <v>9</v>
      </c>
      <c r="E30" s="4">
        <f>pos_outlet</f>
        <v>2.25</v>
      </c>
      <c r="F30" s="4">
        <f>arc_inj_out_y</f>
        <v>0.51989598959791949</v>
      </c>
      <c r="G30" s="4">
        <f>arc_inj_out_z</f>
        <v>-1.0400000000000001E-2</v>
      </c>
      <c r="H30" t="s">
        <v>10</v>
      </c>
    </row>
    <row r="31" spans="1:8" x14ac:dyDescent="0.2">
      <c r="D31" t="s">
        <v>9</v>
      </c>
      <c r="H31" t="s">
        <v>10</v>
      </c>
    </row>
    <row r="32" spans="1:8" x14ac:dyDescent="0.2">
      <c r="D32" t="s">
        <v>9</v>
      </c>
      <c r="H32" t="s">
        <v>10</v>
      </c>
    </row>
    <row r="33" spans="4:8" x14ac:dyDescent="0.2">
      <c r="D33" t="s">
        <v>9</v>
      </c>
      <c r="H33" t="s">
        <v>10</v>
      </c>
    </row>
    <row r="34" spans="4:8" x14ac:dyDescent="0.2">
      <c r="D34" t="s">
        <v>9</v>
      </c>
      <c r="H34" t="s">
        <v>10</v>
      </c>
    </row>
    <row r="35" spans="4:8" x14ac:dyDescent="0.2">
      <c r="D35" t="s">
        <v>9</v>
      </c>
      <c r="H35" t="s">
        <v>10</v>
      </c>
    </row>
    <row r="36" spans="4:8" x14ac:dyDescent="0.2">
      <c r="D36" t="s">
        <v>9</v>
      </c>
      <c r="H36" t="s">
        <v>10</v>
      </c>
    </row>
    <row r="37" spans="4:8" x14ac:dyDescent="0.2">
      <c r="D37" t="s">
        <v>9</v>
      </c>
      <c r="H37" t="s">
        <v>10</v>
      </c>
    </row>
    <row r="38" spans="4:8" x14ac:dyDescent="0.2">
      <c r="D38" t="s">
        <v>9</v>
      </c>
      <c r="H38" t="s">
        <v>10</v>
      </c>
    </row>
    <row r="39" spans="4:8" x14ac:dyDescent="0.2">
      <c r="H3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72</vt:i4>
      </vt:variant>
    </vt:vector>
  </HeadingPairs>
  <TitlesOfParts>
    <vt:vector size="77" baseType="lpstr">
      <vt:lpstr>Data</vt:lpstr>
      <vt:lpstr>boundaries</vt:lpstr>
      <vt:lpstr>Vertices</vt:lpstr>
      <vt:lpstr>hex</vt:lpstr>
      <vt:lpstr>arcs</vt:lpstr>
      <vt:lpstr>arc_inj_end_inj_y</vt:lpstr>
      <vt:lpstr>arc_inj_end_inj_z</vt:lpstr>
      <vt:lpstr>arc_inj_end_y</vt:lpstr>
      <vt:lpstr>arc_inj_end_z</vt:lpstr>
      <vt:lpstr>arc_inj_noz_y</vt:lpstr>
      <vt:lpstr>arc_inj_noz_z</vt:lpstr>
      <vt:lpstr>arc_inj_out_y</vt:lpstr>
      <vt:lpstr>arc_inj_out_z</vt:lpstr>
      <vt:lpstr>arc_inj_start_inj_y</vt:lpstr>
      <vt:lpstr>arc_inj_start_inj_z</vt:lpstr>
      <vt:lpstr>arc_inj_start_y</vt:lpstr>
      <vt:lpstr>arc_inj_start_z</vt:lpstr>
      <vt:lpstr>arc_inle_inj_y</vt:lpstr>
      <vt:lpstr>arc_inle_inj_z</vt:lpstr>
      <vt:lpstr>arc_inlet_y</vt:lpstr>
      <vt:lpstr>arc_inlet_z</vt:lpstr>
      <vt:lpstr>arc_noz_y</vt:lpstr>
      <vt:lpstr>arc_noz_z</vt:lpstr>
      <vt:lpstr>arc_out_y</vt:lpstr>
      <vt:lpstr>arc_out_z</vt:lpstr>
      <vt:lpstr>arc_throat_inj_y</vt:lpstr>
      <vt:lpstr>arc_throat_inj_z</vt:lpstr>
      <vt:lpstr>arc_throat_y</vt:lpstr>
      <vt:lpstr>arc_throat_z</vt:lpstr>
      <vt:lpstr>Gradient_end</vt:lpstr>
      <vt:lpstr>Gradient_start</vt:lpstr>
      <vt:lpstr>inj_height</vt:lpstr>
      <vt:lpstr>inlet_inj</vt:lpstr>
      <vt:lpstr>noz_inj_end</vt:lpstr>
      <vt:lpstr>Nozzle_length</vt:lpstr>
      <vt:lpstr>Nx_inj</vt:lpstr>
      <vt:lpstr>Nx_noz_1</vt:lpstr>
      <vt:lpstr>Nx_noz_2</vt:lpstr>
      <vt:lpstr>NX_nozzle_total</vt:lpstr>
      <vt:lpstr>Ny_center</vt:lpstr>
      <vt:lpstr>Ny_outer</vt:lpstr>
      <vt:lpstr>nz</vt:lpstr>
      <vt:lpstr>outlet_inj</vt:lpstr>
      <vt:lpstr>pos_inj</vt:lpstr>
      <vt:lpstr>pos_inj_back</vt:lpstr>
      <vt:lpstr>pos_noz_end</vt:lpstr>
      <vt:lpstr>pos_outlet</vt:lpstr>
      <vt:lpstr>position_inlet</vt:lpstr>
      <vt:lpstr>radius_inj_end</vt:lpstr>
      <vt:lpstr>radius_inj_start</vt:lpstr>
      <vt:lpstr>radius_injector</vt:lpstr>
      <vt:lpstr>radius_inlet</vt:lpstr>
      <vt:lpstr>radius_noz_end</vt:lpstr>
      <vt:lpstr>radius_outlet</vt:lpstr>
      <vt:lpstr>radius_throat</vt:lpstr>
      <vt:lpstr>sqr_frac</vt:lpstr>
      <vt:lpstr>sqr_frac_inj_end</vt:lpstr>
      <vt:lpstr>sqr_frac_inlet</vt:lpstr>
      <vt:lpstr>sqr_frac_noz_end</vt:lpstr>
      <vt:lpstr>sqr_frac_outlet</vt:lpstr>
      <vt:lpstr>sqr_frac_throat</vt:lpstr>
      <vt:lpstr>support_outlet</vt:lpstr>
      <vt:lpstr>support_wall_inj_end</vt:lpstr>
      <vt:lpstr>support_wall_inj_start</vt:lpstr>
      <vt:lpstr>support_wall_inlet</vt:lpstr>
      <vt:lpstr>support_wall_noz</vt:lpstr>
      <vt:lpstr>support_wall_noz_end</vt:lpstr>
      <vt:lpstr>support_wall_outer</vt:lpstr>
      <vt:lpstr>support_wall_outlet</vt:lpstr>
      <vt:lpstr>support_wall_throat</vt:lpstr>
      <vt:lpstr>throat_inj_wall</vt:lpstr>
      <vt:lpstr>throat_inj_wall_end</vt:lpstr>
      <vt:lpstr>throat_inj_wall_start</vt:lpstr>
      <vt:lpstr>throat_sqr</vt:lpstr>
      <vt:lpstr>throat_support_wall</vt:lpstr>
      <vt:lpstr>throat_support_wall_end</vt:lpstr>
      <vt:lpstr>throat_support_wall_start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Hickey</dc:creator>
  <cp:lastModifiedBy>Jean-Pierre Hickey</cp:lastModifiedBy>
  <dcterms:created xsi:type="dcterms:W3CDTF">2019-04-27T21:27:46Z</dcterms:created>
  <dcterms:modified xsi:type="dcterms:W3CDTF">2019-06-21T17:33:31Z</dcterms:modified>
</cp:coreProperties>
</file>